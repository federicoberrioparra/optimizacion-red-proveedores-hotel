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ffedepparra/Desktop/Empresa y tecnología /Laboral /"/>
    </mc:Choice>
  </mc:AlternateContent>
  <xr:revisionPtr revIDLastSave="0" documentId="13_ncr:1_{95C7F9FA-9971-E243-8FF6-9EF67D2BEAAB}" xr6:coauthVersionLast="47" xr6:coauthVersionMax="47" xr10:uidLastSave="{00000000-0000-0000-0000-000000000000}"/>
  <bookViews>
    <workbookView xWindow="0" yWindow="600" windowWidth="28160" windowHeight="15740" xr2:uid="{79F2A9EA-9DC3-7444-86B3-F430D7CABA0D}"/>
  </bookViews>
  <sheets>
    <sheet name="Hoja1 Sensitivity" sheetId="39" r:id="rId1"/>
    <sheet name="Hoja1" sheetId="1" r:id="rId2"/>
  </sheets>
  <definedNames>
    <definedName name="OpenSolver_ChosenSolver" localSheetId="1" hidden="1">CBC</definedName>
    <definedName name="OpenSolver_DualsNewSheet" localSheetId="1" hidden="1">1</definedName>
    <definedName name="OpenSolver_LinearityCheck" localSheetId="1" hidden="1">1</definedName>
    <definedName name="OpenSolver_UpdateSensitivity" localSheetId="1" hidden="1">0</definedName>
    <definedName name="solver_adj" localSheetId="1" hidden="1">Hoja1!$C$3:$C$172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2147483647</definedName>
    <definedName name="solver_lhs1" localSheetId="1" hidden="1">Hoja1!$R$16:$R$53</definedName>
    <definedName name="solver_lhs2" localSheetId="1" hidden="1">Hoja1!$R$95:$R$113</definedName>
    <definedName name="solver_lhs3" localSheetId="1" hidden="1">Hoja1!$R$55:$R$73</definedName>
    <definedName name="solver_lhs4" localSheetId="1" hidden="1">Hoja1!$R$15</definedName>
    <definedName name="solver_lhs5" localSheetId="1" hidden="1">Hoja1!$V$16:$V$53</definedName>
    <definedName name="solver_lhs6" localSheetId="1" hidden="1">Hoja1!$R$55:$R$73</definedName>
    <definedName name="solver_lhs7" localSheetId="1" hidden="1">Hoja1!$C$3:$C$225</definedName>
    <definedName name="solver_neg" localSheetId="1" hidden="1">1</definedName>
    <definedName name="solver_num" localSheetId="1" hidden="1">4</definedName>
    <definedName name="solver_nwt" localSheetId="1" hidden="1">1</definedName>
    <definedName name="solver_opt" localSheetId="1" hidden="1">Hoja1!$Q$7</definedName>
    <definedName name="solver_pre" localSheetId="1" hidden="1">0.000001</definedName>
    <definedName name="solver_rel1" localSheetId="1" hidden="1">1</definedName>
    <definedName name="solver_rel2" localSheetId="1" hidden="1">1</definedName>
    <definedName name="solver_rel3" localSheetId="1" hidden="1">3</definedName>
    <definedName name="solver_rel4" localSheetId="1" hidden="1">1</definedName>
    <definedName name="solver_rel5" localSheetId="1" hidden="1">3</definedName>
    <definedName name="solver_rel6" localSheetId="1" hidden="1">3</definedName>
    <definedName name="solver_rel7" localSheetId="1" hidden="1">5</definedName>
    <definedName name="solver_rhs1" localSheetId="1" hidden="1">Hoja1!$T$16:$T$53</definedName>
    <definedName name="solver_rhs2" localSheetId="1" hidden="1">Hoja1!$T$95:$T$113</definedName>
    <definedName name="solver_rhs3" localSheetId="1" hidden="1">Hoja1!$T$55:$T$73</definedName>
    <definedName name="solver_rhs4" localSheetId="1" hidden="1">Hoja1!$T$15</definedName>
    <definedName name="solver_rhs5" localSheetId="1" hidden="1">Hoja1!$X$16:$X$53</definedName>
    <definedName name="solver_rhs6" localSheetId="1" hidden="1">Hoja1!$T$55:$T$73</definedName>
    <definedName name="solver_rhs7" localSheetId="1" hidden="1">binary</definedName>
    <definedName name="solver_rlx" localSheetId="1" hidden="1">2</definedName>
    <definedName name="solver_scl" localSheetId="1" hidden="1">2</definedName>
    <definedName name="solver_sho" localSheetId="1" hidden="1">0</definedName>
    <definedName name="solver_tim" localSheetId="1" hidden="1">2147483647</definedName>
    <definedName name="solver_tol" localSheetId="1" hidden="1">0.05</definedName>
    <definedName name="solver_typ" localSheetId="1" hidden="1">1</definedName>
    <definedName name="solver_val" localSheetId="1" hidden="1">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A8" i="1" l="1"/>
  <c r="AA9" i="1"/>
  <c r="W8" i="1"/>
  <c r="W9" i="1"/>
  <c r="W7" i="1"/>
  <c r="W6" i="1"/>
  <c r="AA6" i="1"/>
  <c r="AA7" i="1"/>
  <c r="Q10" i="1"/>
  <c r="Q7" i="1"/>
  <c r="R103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O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30" i="1" l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R15" i="1"/>
  <c r="I9" i="1"/>
  <c r="I8" i="1"/>
  <c r="I6" i="1"/>
  <c r="I3" i="1"/>
  <c r="R14" i="1"/>
  <c r="R113" i="1"/>
  <c r="R112" i="1"/>
  <c r="R111" i="1"/>
  <c r="R104" i="1"/>
  <c r="R105" i="1"/>
  <c r="R106" i="1"/>
  <c r="R107" i="1"/>
  <c r="R108" i="1"/>
  <c r="R109" i="1"/>
  <c r="R110" i="1"/>
  <c r="R102" i="1"/>
  <c r="R101" i="1"/>
  <c r="R96" i="1"/>
  <c r="R97" i="1"/>
  <c r="R98" i="1"/>
  <c r="R99" i="1"/>
  <c r="R100" i="1"/>
  <c r="R95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16" i="1"/>
  <c r="I117" i="1"/>
  <c r="N117" i="1" s="1"/>
  <c r="R75" i="1" l="1"/>
  <c r="R84" i="1"/>
  <c r="R78" i="1"/>
  <c r="R91" i="1"/>
  <c r="R88" i="1"/>
  <c r="R85" i="1"/>
  <c r="R82" i="1"/>
  <c r="R79" i="1"/>
  <c r="R76" i="1"/>
  <c r="R90" i="1"/>
  <c r="R92" i="1"/>
  <c r="R89" i="1"/>
  <c r="R83" i="1"/>
  <c r="R77" i="1"/>
  <c r="R93" i="1"/>
  <c r="R87" i="1"/>
  <c r="R81" i="1"/>
  <c r="R86" i="1"/>
  <c r="R80" i="1"/>
  <c r="O117" i="1"/>
  <c r="I116" i="1" l="1"/>
  <c r="N116" i="1" s="1"/>
  <c r="I115" i="1"/>
  <c r="N115" i="1" s="1"/>
  <c r="O115" i="1" s="1"/>
  <c r="I114" i="1"/>
  <c r="N114" i="1" s="1"/>
  <c r="I113" i="1"/>
  <c r="N113" i="1" s="1"/>
  <c r="N112" i="1"/>
  <c r="O112" i="1" s="1"/>
  <c r="I112" i="1"/>
  <c r="I111" i="1"/>
  <c r="N111" i="1" s="1"/>
  <c r="O111" i="1" s="1"/>
  <c r="I110" i="1"/>
  <c r="N110" i="1" s="1"/>
  <c r="I109" i="1"/>
  <c r="N109" i="1" s="1"/>
  <c r="I108" i="1"/>
  <c r="N108" i="1" s="1"/>
  <c r="I107" i="1"/>
  <c r="N107" i="1" s="1"/>
  <c r="I106" i="1"/>
  <c r="N106" i="1" s="1"/>
  <c r="I105" i="1"/>
  <c r="N105" i="1" s="1"/>
  <c r="N104" i="1"/>
  <c r="I104" i="1"/>
  <c r="I103" i="1"/>
  <c r="N103" i="1" s="1"/>
  <c r="O103" i="1" s="1"/>
  <c r="N102" i="1"/>
  <c r="I102" i="1"/>
  <c r="I101" i="1"/>
  <c r="N101" i="1" s="1"/>
  <c r="I100" i="1"/>
  <c r="N100" i="1" s="1"/>
  <c r="O100" i="1" s="1"/>
  <c r="N99" i="1"/>
  <c r="I99" i="1"/>
  <c r="I98" i="1"/>
  <c r="N98" i="1" s="1"/>
  <c r="I97" i="1"/>
  <c r="N97" i="1" s="1"/>
  <c r="I96" i="1"/>
  <c r="N96" i="1" s="1"/>
  <c r="O96" i="1" s="1"/>
  <c r="I95" i="1"/>
  <c r="N95" i="1" s="1"/>
  <c r="I94" i="1"/>
  <c r="N94" i="1" s="1"/>
  <c r="I93" i="1"/>
  <c r="N93" i="1" s="1"/>
  <c r="O93" i="1" s="1"/>
  <c r="I92" i="1"/>
  <c r="N92" i="1" s="1"/>
  <c r="I91" i="1"/>
  <c r="N91" i="1" s="1"/>
  <c r="I90" i="1"/>
  <c r="N90" i="1" s="1"/>
  <c r="O90" i="1" s="1"/>
  <c r="I89" i="1"/>
  <c r="N89" i="1" s="1"/>
  <c r="I88" i="1"/>
  <c r="N88" i="1" s="1"/>
  <c r="N87" i="1"/>
  <c r="O87" i="1" s="1"/>
  <c r="I87" i="1"/>
  <c r="I86" i="1"/>
  <c r="N86" i="1" s="1"/>
  <c r="N85" i="1"/>
  <c r="I85" i="1"/>
  <c r="I84" i="1"/>
  <c r="N84" i="1" s="1"/>
  <c r="O84" i="1" s="1"/>
  <c r="I83" i="1"/>
  <c r="N83" i="1" s="1"/>
  <c r="I82" i="1"/>
  <c r="N82" i="1" s="1"/>
  <c r="O82" i="1" s="1"/>
  <c r="I81" i="1"/>
  <c r="N81" i="1" s="1"/>
  <c r="O81" i="1" s="1"/>
  <c r="I80" i="1"/>
  <c r="N80" i="1" s="1"/>
  <c r="I79" i="1"/>
  <c r="N79" i="1" s="1"/>
  <c r="I78" i="1"/>
  <c r="N78" i="1" s="1"/>
  <c r="I77" i="1"/>
  <c r="N77" i="1" s="1"/>
  <c r="O77" i="1" s="1"/>
  <c r="I76" i="1"/>
  <c r="N76" i="1" s="1"/>
  <c r="N75" i="1"/>
  <c r="I75" i="1"/>
  <c r="K4" i="1"/>
  <c r="I74" i="1"/>
  <c r="N74" i="1" s="1"/>
  <c r="I73" i="1"/>
  <c r="N73" i="1" s="1"/>
  <c r="I72" i="1"/>
  <c r="N72" i="1" s="1"/>
  <c r="O72" i="1" s="1"/>
  <c r="I68" i="1"/>
  <c r="N68" i="1" s="1"/>
  <c r="I67" i="1"/>
  <c r="N67" i="1" s="1"/>
  <c r="I66" i="1"/>
  <c r="N66" i="1" s="1"/>
  <c r="I62" i="1"/>
  <c r="N62" i="1" s="1"/>
  <c r="I61" i="1"/>
  <c r="N61" i="1" s="1"/>
  <c r="I60" i="1"/>
  <c r="N60" i="1" s="1"/>
  <c r="I56" i="1"/>
  <c r="N56" i="1" s="1"/>
  <c r="I55" i="1"/>
  <c r="N55" i="1" s="1"/>
  <c r="I54" i="1"/>
  <c r="N54" i="1" s="1"/>
  <c r="I50" i="1"/>
  <c r="N50" i="1" s="1"/>
  <c r="I49" i="1"/>
  <c r="N49" i="1" s="1"/>
  <c r="I48" i="1"/>
  <c r="N48" i="1" s="1"/>
  <c r="I44" i="1"/>
  <c r="N44" i="1" s="1"/>
  <c r="I43" i="1"/>
  <c r="N43" i="1" s="1"/>
  <c r="I42" i="1"/>
  <c r="N42" i="1" s="1"/>
  <c r="I41" i="1"/>
  <c r="N41" i="1" s="1"/>
  <c r="I40" i="1"/>
  <c r="N40" i="1" s="1"/>
  <c r="I39" i="1"/>
  <c r="N39" i="1" s="1"/>
  <c r="O39" i="1" s="1"/>
  <c r="I38" i="1"/>
  <c r="N38" i="1" s="1"/>
  <c r="K37" i="1"/>
  <c r="I36" i="1"/>
  <c r="N36" i="1" s="1"/>
  <c r="O36" i="1" s="1"/>
  <c r="I32" i="1"/>
  <c r="N32" i="1" s="1"/>
  <c r="K31" i="1"/>
  <c r="I31" i="1" s="1"/>
  <c r="N31" i="1" s="1"/>
  <c r="I30" i="1"/>
  <c r="N30" i="1" s="1"/>
  <c r="I26" i="1"/>
  <c r="N26" i="1" s="1"/>
  <c r="K25" i="1"/>
  <c r="I25" i="1" s="1"/>
  <c r="N25" i="1" s="1"/>
  <c r="I24" i="1"/>
  <c r="N24" i="1" s="1"/>
  <c r="I20" i="1"/>
  <c r="N20" i="1" s="1"/>
  <c r="K19" i="1"/>
  <c r="I19" i="1"/>
  <c r="N19" i="1" s="1"/>
  <c r="O19" i="1" s="1"/>
  <c r="I18" i="1"/>
  <c r="N18" i="1" s="1"/>
  <c r="I14" i="1"/>
  <c r="N14" i="1" s="1"/>
  <c r="K13" i="1"/>
  <c r="I13" i="1"/>
  <c r="N13" i="1" s="1"/>
  <c r="I12" i="1"/>
  <c r="N12" i="1" s="1"/>
  <c r="K35" i="1"/>
  <c r="I35" i="1" s="1"/>
  <c r="N35" i="1" s="1"/>
  <c r="K34" i="1"/>
  <c r="I34" i="1" s="1"/>
  <c r="N34" i="1" s="1"/>
  <c r="I33" i="1"/>
  <c r="N33" i="1" s="1"/>
  <c r="K29" i="1"/>
  <c r="I29" i="1"/>
  <c r="N29" i="1" s="1"/>
  <c r="K28" i="1"/>
  <c r="I28" i="1" s="1"/>
  <c r="N28" i="1" s="1"/>
  <c r="I27" i="1"/>
  <c r="N27" i="1" s="1"/>
  <c r="K23" i="1"/>
  <c r="I23" i="1"/>
  <c r="N23" i="1" s="1"/>
  <c r="K22" i="1"/>
  <c r="I22" i="1" s="1"/>
  <c r="N22" i="1" s="1"/>
  <c r="I21" i="1"/>
  <c r="N21" i="1" s="1"/>
  <c r="K17" i="1"/>
  <c r="I17" i="1" s="1"/>
  <c r="N17" i="1" s="1"/>
  <c r="K16" i="1"/>
  <c r="I16" i="1"/>
  <c r="N16" i="1" s="1"/>
  <c r="I15" i="1"/>
  <c r="N15" i="1" s="1"/>
  <c r="O15" i="1" s="1"/>
  <c r="K11" i="1"/>
  <c r="K10" i="1"/>
  <c r="N9" i="1"/>
  <c r="I160" i="1"/>
  <c r="N160" i="1" s="1"/>
  <c r="I159" i="1"/>
  <c r="N159" i="1" s="1"/>
  <c r="I158" i="1"/>
  <c r="N158" i="1" s="1"/>
  <c r="I157" i="1"/>
  <c r="N157" i="1" s="1"/>
  <c r="I163" i="1"/>
  <c r="N163" i="1" s="1"/>
  <c r="I162" i="1"/>
  <c r="N162" i="1" s="1"/>
  <c r="I156" i="1"/>
  <c r="N156" i="1" s="1"/>
  <c r="I161" i="1"/>
  <c r="N161" i="1" s="1"/>
  <c r="I155" i="1"/>
  <c r="N155" i="1" s="1"/>
  <c r="I154" i="1"/>
  <c r="N154" i="1" s="1"/>
  <c r="I153" i="1"/>
  <c r="N153" i="1" s="1"/>
  <c r="I152" i="1"/>
  <c r="N152" i="1" s="1"/>
  <c r="I165" i="1"/>
  <c r="N165" i="1" s="1"/>
  <c r="I164" i="1"/>
  <c r="N164" i="1" s="1"/>
  <c r="I151" i="1"/>
  <c r="N151" i="1" s="1"/>
  <c r="I150" i="1"/>
  <c r="N150" i="1" s="1"/>
  <c r="I166" i="1"/>
  <c r="N166" i="1" s="1"/>
  <c r="I149" i="1"/>
  <c r="N149" i="1" s="1"/>
  <c r="I148" i="1"/>
  <c r="N148" i="1" s="1"/>
  <c r="I147" i="1"/>
  <c r="N147" i="1" s="1"/>
  <c r="I146" i="1"/>
  <c r="N146" i="1" s="1"/>
  <c r="I145" i="1"/>
  <c r="N145" i="1" s="1"/>
  <c r="I144" i="1"/>
  <c r="N144" i="1" s="1"/>
  <c r="I143" i="1"/>
  <c r="N143" i="1" s="1"/>
  <c r="I167" i="1"/>
  <c r="N167" i="1" s="1"/>
  <c r="I142" i="1"/>
  <c r="N142" i="1" s="1"/>
  <c r="I168" i="1"/>
  <c r="N168" i="1" s="1"/>
  <c r="I141" i="1"/>
  <c r="N141" i="1" s="1"/>
  <c r="I169" i="1"/>
  <c r="N169" i="1" s="1"/>
  <c r="I140" i="1"/>
  <c r="N140" i="1" s="1"/>
  <c r="I170" i="1"/>
  <c r="N170" i="1" s="1"/>
  <c r="I171" i="1"/>
  <c r="N171" i="1" s="1"/>
  <c r="I139" i="1"/>
  <c r="N139" i="1" s="1"/>
  <c r="I172" i="1"/>
  <c r="N172" i="1" s="1"/>
  <c r="I138" i="1"/>
  <c r="N138" i="1" s="1"/>
  <c r="I137" i="1"/>
  <c r="N137" i="1" s="1"/>
  <c r="I136" i="1"/>
  <c r="N136" i="1" s="1"/>
  <c r="I135" i="1"/>
  <c r="N135" i="1" s="1"/>
  <c r="I134" i="1"/>
  <c r="N134" i="1" s="1"/>
  <c r="I133" i="1"/>
  <c r="N133" i="1" s="1"/>
  <c r="I132" i="1"/>
  <c r="N132" i="1" s="1"/>
  <c r="I131" i="1"/>
  <c r="N131" i="1" s="1"/>
  <c r="I130" i="1"/>
  <c r="N130" i="1" s="1"/>
  <c r="I129" i="1"/>
  <c r="N129" i="1" s="1"/>
  <c r="I128" i="1"/>
  <c r="N128" i="1" s="1"/>
  <c r="I127" i="1"/>
  <c r="N127" i="1" s="1"/>
  <c r="I126" i="1"/>
  <c r="N126" i="1" s="1"/>
  <c r="I125" i="1"/>
  <c r="N125" i="1" s="1"/>
  <c r="I124" i="1"/>
  <c r="N124" i="1" s="1"/>
  <c r="I123" i="1"/>
  <c r="N123" i="1" s="1"/>
  <c r="I122" i="1"/>
  <c r="N122" i="1" s="1"/>
  <c r="I121" i="1"/>
  <c r="N121" i="1" s="1"/>
  <c r="I120" i="1"/>
  <c r="N120" i="1" s="1"/>
  <c r="I119" i="1"/>
  <c r="N119" i="1" s="1"/>
  <c r="I118" i="1"/>
  <c r="N118" i="1" s="1"/>
  <c r="AW22" i="1"/>
  <c r="BB22" i="1" s="1"/>
  <c r="AW21" i="1"/>
  <c r="BB21" i="1" s="1"/>
  <c r="AW20" i="1"/>
  <c r="BB20" i="1" s="1"/>
  <c r="AW19" i="1"/>
  <c r="BB19" i="1" s="1"/>
  <c r="AW18" i="1"/>
  <c r="BB18" i="1" s="1"/>
  <c r="AW17" i="1"/>
  <c r="BB17" i="1" s="1"/>
  <c r="AX22" i="1"/>
  <c r="AX21" i="1"/>
  <c r="AX20" i="1"/>
  <c r="AX19" i="1"/>
  <c r="AX18" i="1"/>
  <c r="AX17" i="1"/>
  <c r="N8" i="1"/>
  <c r="N6" i="1"/>
  <c r="K7" i="1"/>
  <c r="K5" i="1"/>
  <c r="O85" i="1" l="1"/>
  <c r="O105" i="1"/>
  <c r="I5" i="1"/>
  <c r="I10" i="1"/>
  <c r="N10" i="1" s="1"/>
  <c r="O10" i="1"/>
  <c r="O67" i="1"/>
  <c r="O73" i="1"/>
  <c r="O75" i="1"/>
  <c r="O94" i="1"/>
  <c r="O99" i="1"/>
  <c r="O104" i="1"/>
  <c r="O109" i="1"/>
  <c r="O102" i="1"/>
  <c r="I11" i="1"/>
  <c r="N11" i="1" s="1"/>
  <c r="O11" i="1"/>
  <c r="O33" i="1"/>
  <c r="I4" i="1"/>
  <c r="O108" i="1"/>
  <c r="I7" i="1"/>
  <c r="O34" i="1"/>
  <c r="I37" i="1"/>
  <c r="N37" i="1" s="1"/>
  <c r="O37" i="1" s="1"/>
  <c r="O40" i="1"/>
  <c r="O106" i="1"/>
  <c r="O114" i="1"/>
  <c r="O113" i="1"/>
  <c r="O116" i="1"/>
  <c r="O107" i="1"/>
  <c r="O110" i="1"/>
  <c r="O101" i="1"/>
  <c r="O97" i="1"/>
  <c r="O95" i="1"/>
  <c r="O98" i="1"/>
  <c r="O91" i="1"/>
  <c r="O61" i="1"/>
  <c r="O88" i="1"/>
  <c r="O55" i="1"/>
  <c r="O49" i="1"/>
  <c r="O89" i="1"/>
  <c r="O92" i="1"/>
  <c r="O83" i="1"/>
  <c r="O86" i="1"/>
  <c r="O78" i="1"/>
  <c r="O76" i="1"/>
  <c r="O79" i="1"/>
  <c r="O80" i="1"/>
  <c r="O35" i="1"/>
  <c r="O30" i="1"/>
  <c r="O13" i="1"/>
  <c r="O20" i="1"/>
  <c r="O42" i="1"/>
  <c r="O74" i="1"/>
  <c r="O21" i="1"/>
  <c r="O12" i="1"/>
  <c r="O24" i="1"/>
  <c r="O31" i="1"/>
  <c r="O43" i="1"/>
  <c r="O48" i="1"/>
  <c r="O18" i="1"/>
  <c r="O54" i="1"/>
  <c r="O62" i="1"/>
  <c r="O22" i="1"/>
  <c r="O25" i="1"/>
  <c r="O44" i="1"/>
  <c r="O60" i="1"/>
  <c r="O38" i="1"/>
  <c r="O50" i="1"/>
  <c r="O66" i="1"/>
  <c r="O68" i="1"/>
  <c r="O56" i="1"/>
  <c r="O41" i="1"/>
  <c r="O32" i="1"/>
  <c r="O26" i="1"/>
  <c r="O14" i="1"/>
  <c r="O28" i="1"/>
  <c r="O9" i="1"/>
  <c r="O27" i="1"/>
  <c r="O29" i="1"/>
  <c r="O23" i="1"/>
  <c r="O16" i="1"/>
  <c r="O17" i="1"/>
  <c r="O134" i="1"/>
  <c r="N5" i="1"/>
  <c r="N7" i="1"/>
  <c r="N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BC22" i="1"/>
  <c r="BC21" i="1"/>
  <c r="BC20" i="1"/>
  <c r="BC19" i="1"/>
  <c r="BC18" i="1"/>
  <c r="BC17" i="1"/>
  <c r="O8" i="1"/>
  <c r="O6" i="1"/>
  <c r="N4" i="1" l="1"/>
  <c r="O4" i="1" s="1"/>
  <c r="O7" i="1"/>
  <c r="O5" i="1"/>
</calcChain>
</file>

<file path=xl/sharedStrings.xml><?xml version="1.0" encoding="utf-8"?>
<sst xmlns="http://schemas.openxmlformats.org/spreadsheetml/2006/main" count="1198" uniqueCount="637">
  <si>
    <t xml:space="preserve">Variables  </t>
  </si>
  <si>
    <t>Valor</t>
  </si>
  <si>
    <t>COMIDAS</t>
  </si>
  <si>
    <t>Enunciado</t>
  </si>
  <si>
    <t>Cost variable</t>
  </si>
  <si>
    <t>Ingres brut</t>
  </si>
  <si>
    <t xml:space="preserve">Demanda estimada </t>
  </si>
  <si>
    <t>Qualitat</t>
  </si>
  <si>
    <t>Cost fix</t>
  </si>
  <si>
    <t>Coste total</t>
  </si>
  <si>
    <t xml:space="preserve">Beneficios </t>
  </si>
  <si>
    <t xml:space="preserve">Iberico Des. Malaga </t>
  </si>
  <si>
    <t>Iber Morning Catering</t>
  </si>
  <si>
    <t>Sol and desayuno select</t>
  </si>
  <si>
    <t>Iberian Grand Brekfast</t>
  </si>
  <si>
    <t xml:space="preserve">Iberico Cena. Malaga </t>
  </si>
  <si>
    <t>Iberdin Basic</t>
  </si>
  <si>
    <t xml:space="preserve">Taberna Select iBERICA </t>
  </si>
  <si>
    <t>Gran mesa iberica premimum</t>
  </si>
  <si>
    <t>Iberico Des. Madrid</t>
  </si>
  <si>
    <t>Petit Dejeuner Express</t>
  </si>
  <si>
    <t>Franco italian Breakfast</t>
  </si>
  <si>
    <t>Le gran Matin</t>
  </si>
  <si>
    <t>Iberico Cena. Madrid</t>
  </si>
  <si>
    <t>Brasserie Basic</t>
  </si>
  <si>
    <t>Saveurs Franco-Italiennes</t>
  </si>
  <si>
    <t>Haute Gastronomie Méd</t>
  </si>
  <si>
    <t>Iberico Des. Barcelona</t>
  </si>
  <si>
    <t>Central Euro Morning</t>
  </si>
  <si>
    <t>Mitteleuropa Frühstück</t>
  </si>
  <si>
    <t>Grand Central Breakfast</t>
  </si>
  <si>
    <t>Iberico Cena. Barcelona</t>
  </si>
  <si>
    <t>Central Dine Basic</t>
  </si>
  <si>
    <t>Mitteleuropa Gourmet</t>
  </si>
  <si>
    <t>Central European Fine Dining</t>
  </si>
  <si>
    <t>Iberico Des. Mallorca</t>
  </si>
  <si>
    <t>Zona Mediterrani oriental Desayuno</t>
  </si>
  <si>
    <t>Eastern Med Morning</t>
  </si>
  <si>
    <t>Aegean Sunrise Breakfas</t>
  </si>
  <si>
    <t>Oriental Grand Breakfast</t>
  </si>
  <si>
    <t>Iberico Cena. Mallorca</t>
  </si>
  <si>
    <t xml:space="preserve">Zona Mediterrani oriental Cena </t>
  </si>
  <si>
    <t>Eastern Med Dine Basic</t>
  </si>
  <si>
    <t>Aegean Flavours Select</t>
  </si>
  <si>
    <t>Ottoman &amp; Hellenic Fine Dining</t>
  </si>
  <si>
    <t xml:space="preserve">Iberico Des. Lisboa </t>
  </si>
  <si>
    <t>Actividades Malaga</t>
  </si>
  <si>
    <t>Visitas Ibéricas Select</t>
  </si>
  <si>
    <t>Duende Flamenco Select</t>
  </si>
  <si>
    <t>Vinos de Málaga Tours</t>
  </si>
  <si>
    <t>Iberico Cena. Lisboa</t>
  </si>
  <si>
    <t>Actividades Madrid</t>
  </si>
  <si>
    <t>Arte Madrid Select</t>
  </si>
  <si>
    <t>Sabores de Madrid</t>
  </si>
  <si>
    <t>Catas de España Select</t>
  </si>
  <si>
    <t xml:space="preserve">Iberico Des. Albufeira </t>
  </si>
  <si>
    <t>Actividades Barcelona</t>
  </si>
  <si>
    <t>Barcelona Select Tours</t>
  </si>
  <si>
    <t>Barcelona Food Tours</t>
  </si>
  <si>
    <t>Penedès Wine Select</t>
  </si>
  <si>
    <t xml:space="preserve">Iberico Cena. Albufeira </t>
  </si>
  <si>
    <t>Actividades Palma Mallorca</t>
  </si>
  <si>
    <t>Mallorca Select Tours</t>
  </si>
  <si>
    <t>Mallorca Sailing Club</t>
  </si>
  <si>
    <t>Binissalem Wine Select</t>
  </si>
  <si>
    <t>Zona Med occ Des. Marseille</t>
  </si>
  <si>
    <t>Actividades Lisboa</t>
  </si>
  <si>
    <t>Descobertas Portugal</t>
  </si>
  <si>
    <t>Quintas de Portugal</t>
  </si>
  <si>
    <t>Lisboa Heritage Tours</t>
  </si>
  <si>
    <t>Zona Med occ Cen. Marseille</t>
  </si>
  <si>
    <t>Actividades Albufeira</t>
  </si>
  <si>
    <t>Algarve Sea Adventures</t>
  </si>
  <si>
    <t>Algarve 4x4 Select</t>
  </si>
  <si>
    <t>Oceano Vivo Tours</t>
  </si>
  <si>
    <t xml:space="preserve">Zona Med occ Des. Lyon </t>
  </si>
  <si>
    <t>Actividades Marsella</t>
  </si>
  <si>
    <t>Calanques Select Tours</t>
  </si>
  <si>
    <t>Saveurs de Provence</t>
  </si>
  <si>
    <t xml:space="preserve">Zona Med occ Cen. Lyon </t>
  </si>
  <si>
    <t>Actividades Lyon</t>
  </si>
  <si>
    <t>Gastronomie Lyon Select</t>
  </si>
  <si>
    <t>Vignobles du Rhône Select</t>
  </si>
  <si>
    <t>Lyon Heritage Tours</t>
  </si>
  <si>
    <t xml:space="preserve">Zona Med occ Des. Paris </t>
  </si>
  <si>
    <t xml:space="preserve">Actividades Paris </t>
  </si>
  <si>
    <t>Découverte Paris Select</t>
  </si>
  <si>
    <t>Art Paris Select Tours</t>
  </si>
  <si>
    <t>Les Saveurs de France</t>
  </si>
  <si>
    <t xml:space="preserve">Zona Med occ Cen. Paris </t>
  </si>
  <si>
    <t>Actividades Milan</t>
  </si>
  <si>
    <t>Bella Milano Select</t>
  </si>
  <si>
    <t>Arte Italiana Select</t>
  </si>
  <si>
    <t>Spritz &amp; Go Milano</t>
  </si>
  <si>
    <t xml:space="preserve">Zona Med occ Des. Milano </t>
  </si>
  <si>
    <t xml:space="preserve">Actividades Roma </t>
  </si>
  <si>
    <t>Bella Italia Experiences</t>
  </si>
  <si>
    <t>Roma Sacra Select</t>
  </si>
  <si>
    <t>Sapori di Roma</t>
  </si>
  <si>
    <t xml:space="preserve">Zona Med occ Cen. Milano </t>
  </si>
  <si>
    <t>Actividades Venecia</t>
  </si>
  <si>
    <t>Venezia Select Tours</t>
  </si>
  <si>
    <t>Arte Vetro Venezia</t>
  </si>
  <si>
    <t>Sapori di Venezia</t>
  </si>
  <si>
    <t xml:space="preserve">Zona Med occ Des. Roma </t>
  </si>
  <si>
    <t>Actividades Berlin</t>
  </si>
  <si>
    <t>Berlin &amp; Beyond Tours</t>
  </si>
  <si>
    <t>Craft Beer Berlin Select</t>
  </si>
  <si>
    <t>Berlin Art Select</t>
  </si>
  <si>
    <t xml:space="preserve">Zona Med occ Cen. Roma </t>
  </si>
  <si>
    <t>Actividades Budapest</t>
  </si>
  <si>
    <t>Magyar Élmények Select</t>
  </si>
  <si>
    <t>Budapest Spa Select</t>
  </si>
  <si>
    <t>Tokaj Wine Select</t>
  </si>
  <si>
    <t xml:space="preserve">Zona Med occ Des. Venezia </t>
  </si>
  <si>
    <t>Actividades Amsterdam</t>
  </si>
  <si>
    <t>Dutch Heritage Tours</t>
  </si>
  <si>
    <t>Holland Cycling Tours</t>
  </si>
  <si>
    <t>Dutch Masters Select</t>
  </si>
  <si>
    <t xml:space="preserve">Zona Med occ Cen. Venezia </t>
  </si>
  <si>
    <t>Actividades Atenas</t>
  </si>
  <si>
    <t>Aegean Heritage Tours</t>
  </si>
  <si>
    <t>Athina Food Tours</t>
  </si>
  <si>
    <t>Athens Sunset Selec</t>
  </si>
  <si>
    <t>Zona Europa central Desayuno Berlin</t>
  </si>
  <si>
    <t>Actividades Ermoupolis</t>
  </si>
  <si>
    <t>Aegean Sailing Select</t>
  </si>
  <si>
    <t>Cyclades Tastes Select</t>
  </si>
  <si>
    <t>Actividades Istanbul</t>
  </si>
  <si>
    <t>Bosphorus Heritage Tours</t>
  </si>
  <si>
    <t>Zona Europa central Cena Berlin</t>
  </si>
  <si>
    <t>Istanbul Market Tours</t>
  </si>
  <si>
    <t>Ottoman Spa Select</t>
  </si>
  <si>
    <t>Anatolian Food Tours</t>
  </si>
  <si>
    <t>Zona Europa central Desayuno Amsterdam</t>
  </si>
  <si>
    <t>Actividades La Valeta</t>
  </si>
  <si>
    <t>Knights Heritage Malta</t>
  </si>
  <si>
    <t>Blue Lagoon Select Malta</t>
  </si>
  <si>
    <t>Meridiana Wine Select</t>
  </si>
  <si>
    <t xml:space="preserve">Zona Europa central Cena Amsterdam </t>
  </si>
  <si>
    <t>Nom</t>
  </si>
  <si>
    <t xml:space="preserve">Restricciones </t>
  </si>
  <si>
    <t xml:space="preserve">Zona Europa central Desayuno Budapest </t>
  </si>
  <si>
    <t>Calidad del servicio</t>
  </si>
  <si>
    <t>Pressupost</t>
  </si>
  <si>
    <t xml:space="preserve">Zona Europa central Cena Budapest  </t>
  </si>
  <si>
    <t xml:space="preserve">Zona Mediterrani oriental Desayuno Atenas </t>
  </si>
  <si>
    <t>Zona Mediterrani oriental Cena Atenas</t>
  </si>
  <si>
    <t xml:space="preserve">Zona Mediterrani oriental Desayuno Ermoupolis </t>
  </si>
  <si>
    <t>Zona Mediterrani oriental Cena Ermoupolis</t>
  </si>
  <si>
    <t xml:space="preserve">Zona Mediterrani oriental Desayuno Istanbul </t>
  </si>
  <si>
    <t xml:space="preserve">Zona Mediterrani oriental Cena Istanbul </t>
  </si>
  <si>
    <t xml:space="preserve">Zona Mediterrani oriental Desayuno La Valeta </t>
  </si>
  <si>
    <t xml:space="preserve">Zona Mediterrani oriental Cena La Valeta </t>
  </si>
  <si>
    <t xml:space="preserve">Ingrés mínim Málaga </t>
  </si>
  <si>
    <t>&gt;=</t>
  </si>
  <si>
    <t xml:space="preserve">Ingrés minim Madrid </t>
  </si>
  <si>
    <t>Ingrés minim Barcelona</t>
  </si>
  <si>
    <t xml:space="preserve">Ingrés minimo Mallorca </t>
  </si>
  <si>
    <t xml:space="preserve">Ingrés minim Lisboa </t>
  </si>
  <si>
    <t xml:space="preserve">Ingrés minim Albufeira </t>
  </si>
  <si>
    <t xml:space="preserve">Ingrés minim Marseille </t>
  </si>
  <si>
    <t xml:space="preserve">Ingrés minim Lyon </t>
  </si>
  <si>
    <t xml:space="preserve">Ingrés minim Paris </t>
  </si>
  <si>
    <t xml:space="preserve">Ingres minim Roma </t>
  </si>
  <si>
    <t xml:space="preserve">Ingres minim Milano </t>
  </si>
  <si>
    <t xml:space="preserve">Ingres minim Venezia </t>
  </si>
  <si>
    <t>Ingrés minim Berlin</t>
  </si>
  <si>
    <t>Ingres minim Amsterdam</t>
  </si>
  <si>
    <t xml:space="preserve">Ingres minim Budapest </t>
  </si>
  <si>
    <t xml:space="preserve">Ingres minim Atenas </t>
  </si>
  <si>
    <t xml:space="preserve">Ingrés minim Ermopoulis </t>
  </si>
  <si>
    <t xml:space="preserve">Ingrés minim Istambul </t>
  </si>
  <si>
    <t xml:space="preserve">Ingrés minim La valeta </t>
  </si>
  <si>
    <t>COHERÈNCIES</t>
  </si>
  <si>
    <t>Coherència esmorzar - sopar ZNA Ibèrica - Málaga</t>
  </si>
  <si>
    <t>&lt;=</t>
  </si>
  <si>
    <t>Coherència esmorzar - sopar ZNA Ibèrica - Madrid</t>
  </si>
  <si>
    <t>Coherència esmorzar - sopar ZNA Ibèrica - Barcelona</t>
  </si>
  <si>
    <t>Coherència esmorzar - sopar ZNA Ibèrica - Mallorca</t>
  </si>
  <si>
    <t>Coherència esmorzar - sopar ZNA Ibèrica - Lisboa</t>
  </si>
  <si>
    <t>Coherència esmorzar - sopar ZNA Ibèrica - Albufeira</t>
  </si>
  <si>
    <t>Coherència esmorzar - sopar ZNA Medi Occ. - Marseille</t>
  </si>
  <si>
    <t>Coherència esmorzar - sopar ZNA Medi Occ. - Lyon</t>
  </si>
  <si>
    <t>Coherència esmorzar - sopar ZNA Medi Occ. - París</t>
  </si>
  <si>
    <t>Coherència esmorzar - sopar ZNA Medi Occ. - Milà</t>
  </si>
  <si>
    <t>Coherència esmorzar - sopar ZNA Medi Occ. - Roma</t>
  </si>
  <si>
    <t>Coherència esmorzar - sopar ZNA Medi Occ. - Venècia</t>
  </si>
  <si>
    <t>Coherència esmorzar - sopar ZNA Eur. Central - Berlín</t>
  </si>
  <si>
    <t>F.O</t>
  </si>
  <si>
    <t>Coherència esmorzar - sopar ZNA Eur. Central - Amsterdam</t>
  </si>
  <si>
    <t>Coherència esmorzar - sopar ZNA Eur. Central - Budapest</t>
  </si>
  <si>
    <t>Coherència esmorzar - sopar ZNA Medi Orien. - Atenas</t>
  </si>
  <si>
    <t>Coherència esmorzar - sopar ZNA Medi Orien. - Ermoupolis</t>
  </si>
  <si>
    <t>Coherència esmorzar - sopar ZNA Medi Orien. - Istanbul</t>
  </si>
  <si>
    <t>Coherència esmorzar - sopar ZNA Medi Orien. - La Valeta</t>
  </si>
  <si>
    <t>Actividades Málaga</t>
  </si>
  <si>
    <t>Actividades Maresille</t>
  </si>
  <si>
    <t>Actividades Paris</t>
  </si>
  <si>
    <t>ActividadesMilan</t>
  </si>
  <si>
    <t>Actividades Roma</t>
  </si>
  <si>
    <t>Actividades Venècia</t>
  </si>
  <si>
    <t>OpenSolver Sensitivity Report - CBC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</si>
  <si>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</si>
  <si>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</si>
  <si>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</si>
  <si>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</si>
  <si>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</si>
  <si>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</si>
  <si>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</si>
  <si>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</si>
  <si>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C3</t>
  </si>
  <si>
    <t>Iber Morning Catering Valor</t>
  </si>
  <si>
    <t>C4</t>
  </si>
  <si>
    <t>Sol and desayuno select Valor</t>
  </si>
  <si>
    <t>C5</t>
  </si>
  <si>
    <t>Iberian Grand Brekfast Valor</t>
  </si>
  <si>
    <t>C6</t>
  </si>
  <si>
    <t>C7</t>
  </si>
  <si>
    <t>Iberdin Basic Valor</t>
  </si>
  <si>
    <t>C8</t>
  </si>
  <si>
    <t>Taberna Select iBERICA  Valor</t>
  </si>
  <si>
    <t>C9</t>
  </si>
  <si>
    <t>Gran mesa iberica premimum Valor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</si>
  <si>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</si>
  <si>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</si>
  <si>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</si>
  <si>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</si>
  <si>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</si>
  <si>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</si>
  <si>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</si>
  <si>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</si>
  <si>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</si>
  <si>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</si>
  <si>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</si>
  <si>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</si>
  <si>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</si>
  <si>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</si>
  <si>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</si>
  <si>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</si>
  <si>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</si>
  <si>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</si>
  <si>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</si>
  <si>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</si>
  <si>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</si>
  <si>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</si>
  <si>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</si>
  <si>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</si>
  <si>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</si>
  <si>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</si>
  <si>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</si>
  <si>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</si>
  <si>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</si>
  <si>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</si>
  <si>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</si>
  <si>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</si>
  <si>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</si>
  <si>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</si>
  <si>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</si>
  <si>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</si>
  <si>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</si>
  <si>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</si>
  <si>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</si>
  <si>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</si>
  <si>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</si>
  <si>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</si>
  <si>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Petit Dejeuner Express Valor</t>
  </si>
  <si>
    <t>C52</t>
  </si>
  <si>
    <t>Franco italian Breakfast Valor</t>
  </si>
  <si>
    <t>C53</t>
  </si>
  <si>
    <t>Le gran Matin Valor</t>
  </si>
  <si>
    <t>C54</t>
  </si>
  <si>
    <t>C55</t>
  </si>
  <si>
    <t>Brasserie Basic Valor</t>
  </si>
  <si>
    <t>C56</t>
  </si>
  <si>
    <t>Saveurs Franco-Italiennes Valor</t>
  </si>
  <si>
    <t>C57</t>
  </si>
  <si>
    <t>Haute Gastronomie Méd Valor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</si>
  <si>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</si>
  <si>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</si>
  <si>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</si>
  <si>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</si>
  <si>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</si>
  <si>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</si>
  <si>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</si>
  <si>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</si>
  <si>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</si>
  <si>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</si>
  <si>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</si>
  <si>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</si>
  <si>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</si>
  <si>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</si>
  <si>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</si>
  <si>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</si>
  <si>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</si>
  <si>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</si>
  <si>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</si>
  <si>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</si>
  <si>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</si>
  <si>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</si>
  <si>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</si>
  <si>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</si>
  <si>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</si>
  <si>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</si>
  <si>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</si>
  <si>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</si>
  <si>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</si>
  <si>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</si>
  <si>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</si>
  <si>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</si>
  <si>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</si>
  <si>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</si>
  <si>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</si>
  <si>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</si>
  <si>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</si>
  <si>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</si>
  <si>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</si>
  <si>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</si>
  <si>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</si>
  <si>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</si>
  <si>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Central Euro Morning Valor</t>
  </si>
  <si>
    <t>C100</t>
  </si>
  <si>
    <t>Mitteleuropa Frühstück Valor</t>
  </si>
  <si>
    <t>C101</t>
  </si>
  <si>
    <t>Grand Central Breakfast Valor</t>
  </si>
  <si>
    <t>C102</t>
  </si>
  <si>
    <t>C103</t>
  </si>
  <si>
    <t>Central Dine Basic Valor</t>
  </si>
  <si>
    <t>C104</t>
  </si>
  <si>
    <t>Mitteleuropa Gourmet Valor</t>
  </si>
  <si>
    <t>C105</t>
  </si>
  <si>
    <t>Central European Fine Dining Valor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</si>
  <si>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</si>
  <si>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</si>
  <si>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</si>
  <si>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</si>
  <si>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</si>
  <si>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</si>
  <si>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</si>
  <si>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</si>
  <si>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</si>
  <si>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</si>
  <si>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</si>
  <si>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</si>
  <si>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</si>
  <si>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</si>
  <si>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</si>
  <si>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</si>
  <si>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</si>
  <si>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</si>
  <si>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Eastern Med Morning Valor</t>
  </si>
  <si>
    <t>C124</t>
  </si>
  <si>
    <t>Aegean Sunrise Breakfas Valor</t>
  </si>
  <si>
    <t>C125</t>
  </si>
  <si>
    <t>Oriental Grand Breakfast Valor</t>
  </si>
  <si>
    <t>C126</t>
  </si>
  <si>
    <t>C127</t>
  </si>
  <si>
    <t>Eastern Med Dine Basic Valor</t>
  </si>
  <si>
    <t>C128</t>
  </si>
  <si>
    <t>Aegean Flavours Select Valor</t>
  </si>
  <si>
    <t>C129</t>
  </si>
  <si>
    <t>Ottoman &amp; Hellenic Fine Dining Valor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</si>
  <si>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</si>
  <si>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</si>
  <si>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</si>
  <si>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</si>
  <si>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</si>
  <si>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</si>
  <si>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</si>
  <si>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</si>
  <si>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</si>
  <si>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</si>
  <si>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</si>
  <si>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</si>
  <si>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</si>
  <si>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</si>
  <si>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</si>
  <si>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</si>
  <si>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</si>
  <si>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</si>
  <si>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</si>
  <si>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</si>
  <si>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</si>
  <si>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</si>
  <si>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</si>
  <si>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</si>
  <si>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</si>
  <si>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</si>
  <si>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Visitas Ibéricas Select Valor</t>
  </si>
  <si>
    <t>C156</t>
  </si>
  <si>
    <t>Duende Flamenco Select Valor</t>
  </si>
  <si>
    <t>C157</t>
  </si>
  <si>
    <t>Vinos de Málaga Tours Valor</t>
  </si>
  <si>
    <t>C158</t>
  </si>
  <si>
    <t>C159</t>
  </si>
  <si>
    <t>Arte Madrid Select Valor</t>
  </si>
  <si>
    <t>C160</t>
  </si>
  <si>
    <t>Sabores de Madrid Valor</t>
  </si>
  <si>
    <t>C161</t>
  </si>
  <si>
    <t>Catas de España Select Valor</t>
  </si>
  <si>
    <t>C162</t>
  </si>
  <si>
    <t>C163</t>
  </si>
  <si>
    <t>Barcelona Select Tours Valor</t>
  </si>
  <si>
    <t>C164</t>
  </si>
  <si>
    <t>Barcelona Food Tours Valor</t>
  </si>
  <si>
    <t>C165</t>
  </si>
  <si>
    <t>Penedès Wine Select Valor</t>
  </si>
  <si>
    <t>C166</t>
  </si>
  <si>
    <t>C167</t>
  </si>
  <si>
    <t>Mallorca Select Tours Valor</t>
  </si>
  <si>
    <t>C168</t>
  </si>
  <si>
    <t>Mallorca Sailing Club Valor</t>
  </si>
  <si>
    <t>C169</t>
  </si>
  <si>
    <t>Binissalem Wine Select Valor</t>
  </si>
  <si>
    <t>C170</t>
  </si>
  <si>
    <t>C171</t>
  </si>
  <si>
    <t>Descobertas Portugal Valor</t>
  </si>
  <si>
    <t>C172</t>
  </si>
  <si>
    <t>Quintas de Portugal Valor</t>
  </si>
  <si>
    <t>Lisboa Heritage Tours Valor</t>
  </si>
  <si>
    <t>Algarve Sea Adventures Valor</t>
  </si>
  <si>
    <t>Algarve 4x4 Select Valor</t>
  </si>
  <si>
    <t>Oceano Vivo Tours Valor</t>
  </si>
  <si>
    <t>Calanques Select Tours Valor</t>
  </si>
  <si>
    <t>Saveurs de Provence Valor</t>
  </si>
  <si>
    <t>Gastronomie Lyon Select Valor</t>
  </si>
  <si>
    <t>Vignobles du Rhône Select Valor</t>
  </si>
  <si>
    <t>Lyon Heritage Tours Valor</t>
  </si>
  <si>
    <t>Découverte Paris Select Valor</t>
  </si>
  <si>
    <t>Art Paris Select Tours Valor</t>
  </si>
  <si>
    <t>Les Saveurs de France Valor</t>
  </si>
  <si>
    <t>Bella Milano Select Valor</t>
  </si>
  <si>
    <t>Arte Italiana Select Valor</t>
  </si>
  <si>
    <t>Spritz &amp; Go Milano Valor</t>
  </si>
  <si>
    <t>Bella Italia Experiences Valor</t>
  </si>
  <si>
    <t>Roma Sacra Select Valor</t>
  </si>
  <si>
    <t>Sapori di Roma Valor</t>
  </si>
  <si>
    <t>Venezia Select Tours Valor</t>
  </si>
  <si>
    <t>Arte Vetro Venezia Valor</t>
  </si>
  <si>
    <t>Sapori di Venezia Valor</t>
  </si>
  <si>
    <t>Berlin &amp; Beyond Tours Valor</t>
  </si>
  <si>
    <t>Craft Beer Berlin Select Valor</t>
  </si>
  <si>
    <t>Berlin Art Select Valor</t>
  </si>
  <si>
    <t>Magyar Élmények Select Valor</t>
  </si>
  <si>
    <t>Budapest Spa Select Valor</t>
  </si>
  <si>
    <t>Tokaj Wine Select Valor</t>
  </si>
  <si>
    <t>Dutch Heritage Tours Valor</t>
  </si>
  <si>
    <t>Holland Cycling Tours Valor</t>
  </si>
  <si>
    <t>Dutch Masters Select Valor</t>
  </si>
  <si>
    <t>Aegean Heritage Tours Valor</t>
  </si>
  <si>
    <t>Athina Food Tours Valor</t>
  </si>
  <si>
    <t>Athens Sunset Selec Valor</t>
  </si>
  <si>
    <t>Aegean Sailing Select Valor</t>
  </si>
  <si>
    <t>Cyclades Tastes Select Valor</t>
  </si>
  <si>
    <t>Bosphorus Heritage Tours Valor</t>
  </si>
  <si>
    <t>Istanbul Market Tours Valor</t>
  </si>
  <si>
    <t>Ottoman Spa Select Valor</t>
  </si>
  <si>
    <t>Anatolian Food Tours Valor</t>
  </si>
  <si>
    <t>Knights Heritage Malta Valor</t>
  </si>
  <si>
    <t>Blue Lagoon Select Malta Valor</t>
  </si>
  <si>
    <t>Meridiana Wine Select Valor</t>
  </si>
  <si>
    <t>Constraints</t>
  </si>
  <si>
    <t>Shadow Price</t>
  </si>
  <si>
    <t>RHS Value</t>
  </si>
  <si>
    <t xml:space="preserve">Pressupost Restricciones </t>
  </si>
  <si>
    <t xml:space="preserve">Ingrés mínim Málaga  Restricciones </t>
  </si>
  <si>
    <t xml:space="preserve">Ingrés minim Madrid  Restricciones </t>
  </si>
  <si>
    <t xml:space="preserve">Ingrés minim Barcelona Restricciones </t>
  </si>
  <si>
    <t xml:space="preserve">Ingrés minimo Mallorca  Restricciones </t>
  </si>
  <si>
    <t xml:space="preserve">Ingrés minim Lisboa  Restricciones </t>
  </si>
  <si>
    <t xml:space="preserve">Ingrés minim Albufeira  Restricciones </t>
  </si>
  <si>
    <t xml:space="preserve">Ingrés minim Marseille  Restricciones </t>
  </si>
  <si>
    <t xml:space="preserve">Ingrés minim Lyon  Restricciones </t>
  </si>
  <si>
    <t xml:space="preserve">Ingrés minim Paris  Restricciones </t>
  </si>
  <si>
    <t xml:space="preserve">Ingres minim Roma  Restricciones </t>
  </si>
  <si>
    <t xml:space="preserve">Ingres minim Milano  Restricciones </t>
  </si>
  <si>
    <t xml:space="preserve">Ingres minim Venezia  Restricciones </t>
  </si>
  <si>
    <t xml:space="preserve">Ingrés minim Berlin Restricciones </t>
  </si>
  <si>
    <t xml:space="preserve">Ingres minim Amsterdam Restricciones </t>
  </si>
  <si>
    <t xml:space="preserve">Ingres minim Budapest  Restricciones </t>
  </si>
  <si>
    <t xml:space="preserve">Ingres minim Atenas  Restricciones </t>
  </si>
  <si>
    <t xml:space="preserve">Ingrés minim Ermopoulis  Restricciones </t>
  </si>
  <si>
    <t xml:space="preserve">Ingrés minim Istambul  Restricciones </t>
  </si>
  <si>
    <t xml:space="preserve">Ingrés minim La valeta  Restricciones </t>
  </si>
  <si>
    <t xml:space="preserve">Actividades Málaga Restricciones </t>
  </si>
  <si>
    <t xml:space="preserve">Actividades Madrid Restricciones </t>
  </si>
  <si>
    <t xml:space="preserve">Actividades Barcelona Restricciones </t>
  </si>
  <si>
    <t xml:space="preserve">Actividades Palma Mallorca Restricciones </t>
  </si>
  <si>
    <t xml:space="preserve">Actividades Lisboa Restricciones </t>
  </si>
  <si>
    <t xml:space="preserve">Actividades Albufeira Restricciones </t>
  </si>
  <si>
    <t xml:space="preserve">Actividades Maresille Restricciones </t>
  </si>
  <si>
    <t xml:space="preserve">Actividades Lyon Restricciones </t>
  </si>
  <si>
    <t xml:space="preserve">Actividades Paris Restricciones </t>
  </si>
  <si>
    <t xml:space="preserve">ActividadesMilan Restricciones </t>
  </si>
  <si>
    <t xml:space="preserve">Actividades Roma Restricciones </t>
  </si>
  <si>
    <t xml:space="preserve">Actividades Venècia Restricciones </t>
  </si>
  <si>
    <t xml:space="preserve">Actividades Berlin Restricciones </t>
  </si>
  <si>
    <t xml:space="preserve">Actividades Budapest Restricciones </t>
  </si>
  <si>
    <t xml:space="preserve">Actividades Amsterdam Restricciones </t>
  </si>
  <si>
    <t xml:space="preserve">Actividades Atenas Restricciones </t>
  </si>
  <si>
    <t xml:space="preserve">Actividades Ermoupolis Restricciones </t>
  </si>
  <si>
    <t xml:space="preserve">Actividades Istanbul Restricciones </t>
  </si>
  <si>
    <t xml:space="preserve">Actividades La Valeta Restricciones </t>
  </si>
  <si>
    <t xml:space="preserve">Iberico Des. Malaga  Restricciones </t>
  </si>
  <si>
    <t xml:space="preserve">Iberico Cena. Malaga  Restricciones </t>
  </si>
  <si>
    <t xml:space="preserve">Iberico Des. Madrid Restricciones </t>
  </si>
  <si>
    <t xml:space="preserve">Iberico Cena. Madrid Restricciones </t>
  </si>
  <si>
    <t xml:space="preserve">Iberico Des. Barcelona Restricciones </t>
  </si>
  <si>
    <t xml:space="preserve">Iberico Cena. Barcelona Restricciones </t>
  </si>
  <si>
    <t xml:space="preserve">Iberico Des. Mallorca Restricciones </t>
  </si>
  <si>
    <t xml:space="preserve">Iberico Cena. Mallorca Restricciones </t>
  </si>
  <si>
    <t xml:space="preserve">Iberico Des. Lisboa  Restricciones </t>
  </si>
  <si>
    <t xml:space="preserve">Iberico Cena. Lisboa Restricciones </t>
  </si>
  <si>
    <t xml:space="preserve">Iberico Des. Albufeira  Restricciones </t>
  </si>
  <si>
    <t xml:space="preserve">Iberico Cena. Albufeira  Restricciones </t>
  </si>
  <si>
    <t xml:space="preserve">Zona Med occ Des. Marseille Restricciones </t>
  </si>
  <si>
    <t xml:space="preserve">Zona Med occ Cen. Marseille Restricciones </t>
  </si>
  <si>
    <t xml:space="preserve">Zona Med occ Des. Lyon  Restricciones </t>
  </si>
  <si>
    <t xml:space="preserve">Zona Med occ Cen. Lyon  Restricciones </t>
  </si>
  <si>
    <t xml:space="preserve">Zona Med occ Des. Paris  Restricciones </t>
  </si>
  <si>
    <t xml:space="preserve">Zona Med occ Cen. Paris  Restricciones </t>
  </si>
  <si>
    <t xml:space="preserve">Zona Med occ Des. Milano  Restricciones </t>
  </si>
  <si>
    <t xml:space="preserve">Zona Med occ Cen. Milano  Restricciones </t>
  </si>
  <si>
    <t xml:space="preserve">Zona Med occ Des. Roma  Restricciones </t>
  </si>
  <si>
    <t xml:space="preserve">Zona Med occ Cen. Roma  Restricciones </t>
  </si>
  <si>
    <t xml:space="preserve">Zona Med occ Des. Venezia  Restricciones </t>
  </si>
  <si>
    <t xml:space="preserve">Zona Med occ Cen. Venezia  Restricciones </t>
  </si>
  <si>
    <t xml:space="preserve">Zona Europa central Desayuno Berlin Restricciones </t>
  </si>
  <si>
    <t xml:space="preserve">Zona Europa central Cena Berlin Restricciones </t>
  </si>
  <si>
    <t xml:space="preserve">Zona Europa central Desayuno Amsterdam Restricciones </t>
  </si>
  <si>
    <t xml:space="preserve">Zona Europa central Cena Amsterdam  Restricciones </t>
  </si>
  <si>
    <t xml:space="preserve">Zona Europa central Desayuno Budapest  Restricciones </t>
  </si>
  <si>
    <t xml:space="preserve">Zona Europa central Cena Budapest   Restricciones </t>
  </si>
  <si>
    <t xml:space="preserve">Zona Mediterrani oriental Desayuno Atenas  Restricciones </t>
  </si>
  <si>
    <t xml:space="preserve">Zona Mediterrani oriental Cena Atenas Restricciones </t>
  </si>
  <si>
    <t xml:space="preserve">Zona Mediterrani oriental Desayuno Ermoupolis  Restricciones </t>
  </si>
  <si>
    <t xml:space="preserve">Zona Mediterrani oriental Cena Ermoupolis Restricciones </t>
  </si>
  <si>
    <t xml:space="preserve">Zona Mediterrani oriental Desayuno Istanbul  Restricciones </t>
  </si>
  <si>
    <t xml:space="preserve">Zona Mediterrani oriental Cena Istanbul  Restricciones </t>
  </si>
  <si>
    <t xml:space="preserve">Zona Mediterrani oriental Desayuno La Valeta  Restricciones </t>
  </si>
  <si>
    <t xml:space="preserve">Zona Mediterrani oriental Cena La Valeta  Restricciones </t>
  </si>
  <si>
    <t>Iberico Des Malaga</t>
  </si>
  <si>
    <t xml:space="preserve">Iberico Des Madrid </t>
  </si>
  <si>
    <t>Iberico Des Barcelona</t>
  </si>
  <si>
    <t xml:space="preserve">Iberico Des. Mallorca </t>
  </si>
  <si>
    <t>Iberico Cena Madrid</t>
  </si>
  <si>
    <t>Iberico Cena Barcelona</t>
  </si>
  <si>
    <t xml:space="preserve">Iberico Cena Mallorca </t>
  </si>
  <si>
    <t xml:space="preserve">Iberico Cena Lisboa </t>
  </si>
  <si>
    <t xml:space="preserve">Iberico Cena Albufeira </t>
  </si>
  <si>
    <t>R95&lt;=T95</t>
  </si>
  <si>
    <t>R96&lt;=T96</t>
  </si>
  <si>
    <t>R97&lt;=T97</t>
  </si>
  <si>
    <t>R98&lt;=T98</t>
  </si>
  <si>
    <t>R99&lt;=T99</t>
  </si>
  <si>
    <t>R100&lt;=T100</t>
  </si>
  <si>
    <t>R101&lt;=T101</t>
  </si>
  <si>
    <t>R102&lt;=T102</t>
  </si>
  <si>
    <t>R103&lt;=T103</t>
  </si>
  <si>
    <t>R104&lt;=T104</t>
  </si>
  <si>
    <t>R105&lt;=T105</t>
  </si>
  <si>
    <t>R106&lt;=T106</t>
  </si>
  <si>
    <t>R107&lt;=T107</t>
  </si>
  <si>
    <t>R108&lt;=T108</t>
  </si>
  <si>
    <t>R109&lt;=T109</t>
  </si>
  <si>
    <t>R110&lt;=T110</t>
  </si>
  <si>
    <t>R111&lt;=T111</t>
  </si>
  <si>
    <t>R112&lt;=T112</t>
  </si>
  <si>
    <t>R113&lt;=T113</t>
  </si>
  <si>
    <t xml:space="preserve">PRESUPUESTO </t>
  </si>
  <si>
    <t>R55&gt;=T55</t>
  </si>
  <si>
    <t>R56&gt;=T56</t>
  </si>
  <si>
    <t>R57&gt;=T57</t>
  </si>
  <si>
    <t>R58&gt;=T58</t>
  </si>
  <si>
    <t>R59&gt;=T59</t>
  </si>
  <si>
    <t>R60&gt;=T60</t>
  </si>
  <si>
    <t>R61&gt;=T61</t>
  </si>
  <si>
    <t>R62&gt;=T62</t>
  </si>
  <si>
    <t>R63&gt;=T63</t>
  </si>
  <si>
    <t>R64&gt;=T64</t>
  </si>
  <si>
    <t>R65&gt;=T65</t>
  </si>
  <si>
    <t>R66&gt;=T66</t>
  </si>
  <si>
    <t>R67&gt;=T67</t>
  </si>
  <si>
    <t>R68&gt;=T68</t>
  </si>
  <si>
    <t>R69&gt;=T69</t>
  </si>
  <si>
    <t>R70&gt;=T70</t>
  </si>
  <si>
    <t>R71&gt;=T71</t>
  </si>
  <si>
    <t>R72&gt;=T72</t>
  </si>
  <si>
    <t>R73&gt;=T73</t>
  </si>
  <si>
    <t>R16&lt;=T16</t>
  </si>
  <si>
    <t>R17&lt;=T17</t>
  </si>
  <si>
    <t>R18&lt;=T18</t>
  </si>
  <si>
    <t>R19&lt;=T19</t>
  </si>
  <si>
    <t>R20&lt;=T20</t>
  </si>
  <si>
    <t>R21&lt;=T21</t>
  </si>
  <si>
    <t>R22&lt;=T22</t>
  </si>
  <si>
    <t>R23&lt;=T23</t>
  </si>
  <si>
    <t>R24&lt;=T24</t>
  </si>
  <si>
    <t>R25&lt;=T25</t>
  </si>
  <si>
    <t>R26&lt;=T26</t>
  </si>
  <si>
    <t>R27&lt;=T27</t>
  </si>
  <si>
    <t>R28&lt;=T28</t>
  </si>
  <si>
    <t>R29&lt;=T29</t>
  </si>
  <si>
    <t>R30&lt;=T30</t>
  </si>
  <si>
    <t>R31&lt;=T31</t>
  </si>
  <si>
    <t>R32&lt;=T32</t>
  </si>
  <si>
    <t>R33&lt;=T33</t>
  </si>
  <si>
    <t>R34&lt;=T34</t>
  </si>
  <si>
    <t>R35&lt;=T35</t>
  </si>
  <si>
    <t>R36&lt;=T36</t>
  </si>
  <si>
    <t>R37&lt;=T37</t>
  </si>
  <si>
    <t>R38&lt;=T38</t>
  </si>
  <si>
    <t>R39&lt;=T39</t>
  </si>
  <si>
    <t>R40&lt;=T40</t>
  </si>
  <si>
    <t>R41&lt;=T41</t>
  </si>
  <si>
    <t>R42&lt;=T42</t>
  </si>
  <si>
    <t>R43&lt;=T43</t>
  </si>
  <si>
    <t>R44&lt;=T44</t>
  </si>
  <si>
    <t>R45&lt;=T45</t>
  </si>
  <si>
    <t>R46&lt;=T46</t>
  </si>
  <si>
    <t>R47&lt;=T47</t>
  </si>
  <si>
    <t>R48&lt;=T48</t>
  </si>
  <si>
    <t>R49&lt;=T49</t>
  </si>
  <si>
    <t>R50&lt;=T50</t>
  </si>
  <si>
    <t>R51&lt;=T51</t>
  </si>
  <si>
    <t>R52&lt;=T52</t>
  </si>
  <si>
    <t>R53&lt;=T53</t>
  </si>
  <si>
    <t>Worksheet: [Hoteles Porfolio .xlsm] Hoja1 Sensitivity</t>
  </si>
  <si>
    <t>R15&lt;=T15</t>
  </si>
  <si>
    <t>Report Created: 11/7/26 14:36:24</t>
  </si>
  <si>
    <t xml:space="preserve">ZONA </t>
  </si>
  <si>
    <t xml:space="preserve">IBÉRICA </t>
  </si>
  <si>
    <t>MED. OCC.</t>
  </si>
  <si>
    <t>EURO. CENTRAL</t>
  </si>
  <si>
    <t>MED. ORIENTAL</t>
  </si>
  <si>
    <t xml:space="preserve">BENEFICIOS </t>
  </si>
  <si>
    <t>COSTES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</si>
</sst>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Aptos Narrow (Cuerpo)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3"/>
      <name val="Aptos Narrow"/>
      <scheme val="minor"/>
    </font>
    <font>
      <b/>
      <sz val="18"/>
      <color theme="1"/>
      <name val="Aptos Narrow"/>
      <scheme val="minor"/>
    </font>
    <font>
      <sz val="18"/>
      <color theme="1"/>
      <name val="Aptos Narrow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theme="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medium">
        <color theme="4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medium">
        <color theme="4"/>
      </top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3" borderId="3" xfId="0" applyFill="1" applyBorder="1"/>
    <xf numFmtId="0" fontId="0" fillId="0" borderId="3" xfId="0" applyBorder="1"/>
    <xf numFmtId="0" fontId="0" fillId="4" borderId="3" xfId="0" applyFill="1" applyBorder="1"/>
    <xf numFmtId="0" fontId="0" fillId="4" borderId="1" xfId="0" applyFill="1" applyBorder="1"/>
    <xf numFmtId="0" fontId="0" fillId="5" borderId="4" xfId="0" applyFill="1" applyBorder="1"/>
    <xf numFmtId="0" fontId="0" fillId="5" borderId="3" xfId="0" applyFill="1" applyBorder="1"/>
    <xf numFmtId="0" fontId="3" fillId="6" borderId="4" xfId="0" applyFont="1" applyFill="1" applyBorder="1"/>
    <xf numFmtId="0" fontId="0" fillId="6" borderId="4" xfId="0" applyFill="1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11" borderId="6" xfId="0" applyFill="1" applyBorder="1"/>
    <xf numFmtId="0" fontId="0" fillId="11" borderId="10" xfId="0" applyFill="1" applyBorder="1"/>
    <xf numFmtId="0" fontId="0" fillId="11" borderId="0" xfId="0" applyFill="1"/>
    <xf numFmtId="0" fontId="0" fillId="10" borderId="7" xfId="0" applyFill="1" applyBorder="1"/>
    <xf numFmtId="0" fontId="0" fillId="12" borderId="3" xfId="0" applyFill="1" applyBorder="1"/>
    <xf numFmtId="0" fontId="0" fillId="10" borderId="3" xfId="0" applyFill="1" applyBorder="1"/>
    <xf numFmtId="0" fontId="0" fillId="2" borderId="6" xfId="0" applyFill="1" applyBorder="1"/>
    <xf numFmtId="0" fontId="1" fillId="2" borderId="6" xfId="0" applyFont="1" applyFill="1" applyBorder="1"/>
    <xf numFmtId="0" fontId="2" fillId="2" borderId="6" xfId="0" applyFont="1" applyFill="1" applyBorder="1"/>
    <xf numFmtId="0" fontId="0" fillId="2" borderId="11" xfId="0" applyFill="1" applyBorder="1"/>
    <xf numFmtId="0" fontId="0" fillId="9" borderId="11" xfId="0" applyFill="1" applyBorder="1"/>
    <xf numFmtId="0" fontId="0" fillId="0" borderId="12" xfId="0" applyBorder="1"/>
    <xf numFmtId="0" fontId="0" fillId="10" borderId="12" xfId="0" applyFill="1" applyBorder="1"/>
    <xf numFmtId="0" fontId="0" fillId="15" borderId="6" xfId="0" applyFill="1" applyBorder="1"/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4" fillId="0" borderId="0" xfId="0" applyFont="1"/>
    <xf numFmtId="0" fontId="3" fillId="0" borderId="9" xfId="0" applyFont="1" applyBorder="1"/>
    <xf numFmtId="0" fontId="3" fillId="0" borderId="22" xfId="0" applyFont="1" applyBorder="1"/>
    <xf numFmtId="0" fontId="3" fillId="16" borderId="7" xfId="0" applyFont="1" applyFill="1" applyBorder="1"/>
    <xf numFmtId="0" fontId="3" fillId="0" borderId="7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23" xfId="0" applyFont="1" applyBorder="1"/>
    <xf numFmtId="0" fontId="3" fillId="0" borderId="24" xfId="0" applyFont="1" applyBorder="1"/>
    <xf numFmtId="0" fontId="3" fillId="16" borderId="12" xfId="0" applyFont="1" applyFill="1" applyBorder="1"/>
    <xf numFmtId="0" fontId="3" fillId="0" borderId="12" xfId="0" applyFont="1" applyBorder="1"/>
    <xf numFmtId="0" fontId="0" fillId="3" borderId="1" xfId="0" applyFill="1" applyBorder="1"/>
    <xf numFmtId="0" fontId="0" fillId="2" borderId="1" xfId="0" applyFill="1" applyBorder="1"/>
    <xf numFmtId="0" fontId="3" fillId="0" borderId="0" xfId="0" applyFont="1"/>
    <xf numFmtId="0" fontId="1" fillId="0" borderId="0" xfId="0" applyFont="1"/>
    <xf numFmtId="0" fontId="7" fillId="0" borderId="0" xfId="0" applyFont="1"/>
    <xf numFmtId="0" fontId="0" fillId="0" borderId="10" xfId="0" applyBorder="1"/>
    <xf numFmtId="0" fontId="0" fillId="7" borderId="1" xfId="0" applyFill="1" applyBorder="1"/>
    <xf numFmtId="0" fontId="0" fillId="2" borderId="5" xfId="0" applyFill="1" applyBorder="1"/>
    <xf numFmtId="0" fontId="3" fillId="4" borderId="1" xfId="0" applyFont="1" applyFill="1" applyBorder="1"/>
    <xf numFmtId="0" fontId="0" fillId="5" borderId="1" xfId="0" applyFill="1" applyBorder="1"/>
    <xf numFmtId="0" fontId="3" fillId="6" borderId="1" xfId="0" applyFont="1" applyFill="1" applyBorder="1"/>
    <xf numFmtId="0" fontId="3" fillId="0" borderId="1" xfId="0" applyFont="1" applyBorder="1"/>
    <xf numFmtId="0" fontId="0" fillId="6" borderId="1" xfId="0" applyFill="1" applyBorder="1"/>
    <xf numFmtId="0" fontId="6" fillId="0" borderId="26" xfId="0" applyFont="1" applyBorder="1"/>
    <xf numFmtId="0" fontId="4" fillId="12" borderId="25" xfId="0" applyFont="1" applyFill="1" applyBorder="1"/>
    <xf numFmtId="0" fontId="4" fillId="14" borderId="25" xfId="0" applyFont="1" applyFill="1" applyBorder="1"/>
    <xf numFmtId="0" fontId="0" fillId="2" borderId="9" xfId="0" applyFill="1" applyBorder="1"/>
    <xf numFmtId="0" fontId="0" fillId="4" borderId="27" xfId="0" applyFill="1" applyBorder="1"/>
    <xf numFmtId="0" fontId="0" fillId="4" borderId="9" xfId="0" applyFill="1" applyBorder="1"/>
    <xf numFmtId="0" fontId="0" fillId="3" borderId="9" xfId="0" applyFill="1" applyBorder="1"/>
    <xf numFmtId="0" fontId="0" fillId="3" borderId="22" xfId="0" applyFill="1" applyBorder="1"/>
    <xf numFmtId="0" fontId="0" fillId="5" borderId="24" xfId="0" applyFill="1" applyBorder="1"/>
    <xf numFmtId="0" fontId="0" fillId="5" borderId="22" xfId="0" applyFill="1" applyBorder="1"/>
    <xf numFmtId="0" fontId="3" fillId="6" borderId="24" xfId="0" applyFont="1" applyFill="1" applyBorder="1"/>
    <xf numFmtId="0" fontId="0" fillId="6" borderId="24" xfId="0" applyFill="1" applyBorder="1"/>
    <xf numFmtId="0" fontId="0" fillId="2" borderId="22" xfId="0" applyFill="1" applyBorder="1"/>
    <xf numFmtId="0" fontId="0" fillId="2" borderId="28" xfId="0" applyFill="1" applyBorder="1"/>
    <xf numFmtId="0" fontId="0" fillId="0" borderId="22" xfId="0" applyBorder="1"/>
    <xf numFmtId="0" fontId="0" fillId="12" borderId="22" xfId="0" applyFill="1" applyBorder="1"/>
    <xf numFmtId="0" fontId="0" fillId="13" borderId="9" xfId="0" applyFill="1" applyBorder="1"/>
    <xf numFmtId="0" fontId="0" fillId="14" borderId="9" xfId="0" applyFill="1" applyBorder="1"/>
    <xf numFmtId="0" fontId="0" fillId="8" borderId="9" xfId="0" applyFill="1" applyBorder="1"/>
    <xf numFmtId="0" fontId="0" fillId="15" borderId="10" xfId="0" applyFill="1" applyBorder="1"/>
    <xf numFmtId="0" fontId="0" fillId="7" borderId="9" xfId="0" applyFill="1" applyBorder="1"/>
    <xf numFmtId="0" fontId="0" fillId="7" borderId="23" xfId="0" applyFill="1" applyBorder="1"/>
    <xf numFmtId="0" fontId="0" fillId="9" borderId="0" xfId="0" applyFill="1"/>
    <xf numFmtId="2" fontId="6" fillId="17" borderId="26" xfId="0" applyNumberFormat="1" applyFont="1" applyFill="1" applyBorder="1"/>
    <xf numFmtId="0" fontId="0" fillId="0" borderId="29" xfId="0" applyBorder="1"/>
    <xf numFmtId="0" fontId="0" fillId="0" borderId="11" xfId="0" applyBorder="1"/>
    <xf numFmtId="0" fontId="0" fillId="11" borderId="11" xfId="0" applyFill="1" applyBorder="1"/>
    <xf numFmtId="0" fontId="0" fillId="7" borderId="0" xfId="0" applyFill="1"/>
    <xf numFmtId="0" fontId="0" fillId="5" borderId="0" xfId="0" applyFill="1"/>
    <xf numFmtId="0" fontId="4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BENEFICIOS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8.133797006559168E-2"/>
          <c:y val="0.12656435724028822"/>
          <c:w val="0.89487212628777546"/>
          <c:h val="0.77646756514829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Hoja1!$W$5</c:f>
              <c:strCache>
                <c:ptCount val="1"/>
                <c:pt idx="0">
                  <c:v>BENEFICIOS 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7-1B48-9D6F-F73621C53B5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6D7-1B48-9D6F-F73621C53B5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D7-1B48-9D6F-F73621C53B51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6D7-1B48-9D6F-F73621C53B51}"/>
              </c:ext>
            </c:extLst>
          </c:dPt>
          <c:cat>
            <c:strRef>
              <c:f>Hoja1!$V$6:$V$9</c:f>
              <c:strCache>
                <c:ptCount val="4"/>
                <c:pt idx="0">
                  <c:v>IBÉRICA </c:v>
                </c:pt>
                <c:pt idx="1">
                  <c:v>MED. OCC.</c:v>
                </c:pt>
                <c:pt idx="2">
                  <c:v>EURO. CENTRAL</c:v>
                </c:pt>
                <c:pt idx="3">
                  <c:v>MED. ORIENTAL</c:v>
                </c:pt>
              </c:strCache>
            </c:strRef>
          </c:cat>
          <c:val>
            <c:numRef>
              <c:f>Hoja1!$W$6:$W$9</c:f>
              <c:numCache>
                <c:formatCode>General</c:formatCode>
                <c:ptCount val="4"/>
                <c:pt idx="0">
                  <c:v>36614.150006159005</c:v>
                </c:pt>
                <c:pt idx="1">
                  <c:v>38011.098493564998</c:v>
                </c:pt>
                <c:pt idx="2">
                  <c:v>17473.5</c:v>
                </c:pt>
                <c:pt idx="3">
                  <c:v>25710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D7-1B48-9D6F-F73621C53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9"/>
        <c:overlap val="-27"/>
        <c:axId val="982501568"/>
        <c:axId val="982514112"/>
      </c:barChart>
      <c:catAx>
        <c:axId val="98250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2514112"/>
        <c:crosses val="autoZero"/>
        <c:auto val="1"/>
        <c:lblAlgn val="ctr"/>
        <c:lblOffset val="100"/>
        <c:noMultiLvlLbl val="0"/>
      </c:catAx>
      <c:valAx>
        <c:axId val="98251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250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COSTES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Hoja1!$AA$5</c:f>
              <c:strCache>
                <c:ptCount val="1"/>
                <c:pt idx="0">
                  <c:v>COSTES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B37-E649-BC19-3ACD0EC0BD1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B37-E649-BC19-3ACD0EC0BD1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B37-E649-BC19-3ACD0EC0BD1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B37-E649-BC19-3ACD0EC0BD17}"/>
              </c:ext>
            </c:extLst>
          </c:dPt>
          <c:cat>
            <c:strRef>
              <c:f>Hoja1!$Z$6:$Z$9</c:f>
              <c:strCache>
                <c:ptCount val="4"/>
                <c:pt idx="0">
                  <c:v>IBÉRICA </c:v>
                </c:pt>
                <c:pt idx="1">
                  <c:v>MED. OCC.</c:v>
                </c:pt>
                <c:pt idx="2">
                  <c:v>EURO. CENTRAL</c:v>
                </c:pt>
                <c:pt idx="3">
                  <c:v>MED. ORIENTAL</c:v>
                </c:pt>
              </c:strCache>
            </c:strRef>
          </c:cat>
          <c:val>
            <c:numRef>
              <c:f>Hoja1!$AA$6:$AA$9</c:f>
              <c:numCache>
                <c:formatCode>General</c:formatCode>
                <c:ptCount val="4"/>
                <c:pt idx="0">
                  <c:v>62736.709292858395</c:v>
                </c:pt>
                <c:pt idx="1">
                  <c:v>71948.96888891999</c:v>
                </c:pt>
                <c:pt idx="2">
                  <c:v>32664.6</c:v>
                </c:pt>
                <c:pt idx="3">
                  <c:v>47592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37-E649-BC19-3ACD0EC0B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9160192"/>
        <c:axId val="899161536"/>
      </c:barChart>
      <c:catAx>
        <c:axId val="89916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99161536"/>
        <c:crosses val="autoZero"/>
        <c:auto val="1"/>
        <c:lblAlgn val="ctr"/>
        <c:lblOffset val="100"/>
        <c:noMultiLvlLbl val="0"/>
      </c:catAx>
      <c:valAx>
        <c:axId val="89916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9916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3238500</xdr:colOff>
      <xdr:row>5</xdr:row>
      <xdr:rowOff>127000</xdr:rowOff>
    </xdr:from>
    <xdr:to>
      <xdr:col>16</xdr:col>
      <xdr:colOff>228135</xdr:colOff>
      <xdr:row>6</xdr:row>
      <xdr:rowOff>50800</xdr:rowOff>
    </xdr:to>
    <xdr:sp macro="" textlink="">
      <xdr:nvSpPr>
        <xdr:cNvPr id="428" name="OpenSolver3">
          <a:extLst>
            <a:ext uri="{FF2B5EF4-FFF2-40B4-BE49-F238E27FC236}">
              <a16:creationId xmlns:a16="http://schemas.microsoft.com/office/drawing/2014/main" id="{D4F3ED1A-4512-FE47-A7EE-33894AB36EB7}"/>
            </a:ext>
          </a:extLst>
        </xdr:cNvPr>
        <xdr:cNvSpPr/>
      </xdr:nvSpPr>
      <xdr:spPr>
        <a:xfrm>
          <a:off x="29197300" y="1155700"/>
          <a:ext cx="240835" cy="127000"/>
        </a:xfrm>
        <a:prstGeom prst="rect">
          <a:avLst/>
        </a:prstGeom>
        <a:solidFill>
          <a:srgbClr val="FFFFFF">
            <a:alpha val="80000"/>
          </a:srgb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s-ES_tradnl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17</xdr:col>
      <xdr:colOff>0</xdr:colOff>
      <xdr:row>15</xdr:row>
      <xdr:rowOff>0</xdr:rowOff>
    </xdr:from>
    <xdr:to>
      <xdr:col>18</xdr:col>
      <xdr:colOff>0</xdr:colOff>
      <xdr:row>53</xdr:row>
      <xdr:rowOff>0</xdr:rowOff>
    </xdr:to>
    <xdr:sp macro="" textlink="">
      <xdr:nvSpPr>
        <xdr:cNvPr id="429" name="OpenSolver4">
          <a:extLst>
            <a:ext uri="{FF2B5EF4-FFF2-40B4-BE49-F238E27FC236}">
              <a16:creationId xmlns:a16="http://schemas.microsoft.com/office/drawing/2014/main" id="{6EA2AFCA-90A0-E62D-7CCB-020042CCFF4B}"/>
            </a:ext>
          </a:extLst>
        </xdr:cNvPr>
        <xdr:cNvSpPr/>
      </xdr:nvSpPr>
      <xdr:spPr>
        <a:xfrm>
          <a:off x="33020000" y="3314700"/>
          <a:ext cx="1181100" cy="819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s-ES_trad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0</xdr:colOff>
      <xdr:row>33</xdr:row>
      <xdr:rowOff>209550</xdr:rowOff>
    </xdr:from>
    <xdr:to>
      <xdr:col>19</xdr:col>
      <xdr:colOff>0</xdr:colOff>
      <xdr:row>33</xdr:row>
      <xdr:rowOff>209550</xdr:rowOff>
    </xdr:to>
    <xdr:cxnSp macro="">
      <xdr:nvCxnSpPr>
        <xdr:cNvPr id="431" name="OpenSolver6">
          <a:extLst>
            <a:ext uri="{FF2B5EF4-FFF2-40B4-BE49-F238E27FC236}">
              <a16:creationId xmlns:a16="http://schemas.microsoft.com/office/drawing/2014/main" id="{453958B4-043C-60EB-FB9C-4FB5ED8BFCFB}"/>
            </a:ext>
          </a:extLst>
        </xdr:cNvPr>
        <xdr:cNvCxnSpPr>
          <a:cxnSpLocks/>
          <a:stCxn id="429" idx="3"/>
        </xdr:cNvCxnSpPr>
      </xdr:nvCxnSpPr>
      <xdr:spPr>
        <a:xfrm>
          <a:off x="34201100" y="7410450"/>
          <a:ext cx="39624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1790700</xdr:colOff>
      <xdr:row>33</xdr:row>
      <xdr:rowOff>82550</xdr:rowOff>
    </xdr:from>
    <xdr:to>
      <xdr:col>18</xdr:col>
      <xdr:colOff>2171700</xdr:colOff>
      <xdr:row>34</xdr:row>
      <xdr:rowOff>120650</xdr:rowOff>
    </xdr:to>
    <xdr:sp macro="" textlink="">
      <xdr:nvSpPr>
        <xdr:cNvPr id="432" name="OpenSolver7">
          <a:extLst>
            <a:ext uri="{FF2B5EF4-FFF2-40B4-BE49-F238E27FC236}">
              <a16:creationId xmlns:a16="http://schemas.microsoft.com/office/drawing/2014/main" id="{28C49E9D-ED08-F277-5360-00DD4E94FD50}"/>
            </a:ext>
          </a:extLst>
        </xdr:cNvPr>
        <xdr:cNvSpPr/>
      </xdr:nvSpPr>
      <xdr:spPr>
        <a:xfrm>
          <a:off x="35991800" y="7283450"/>
          <a:ext cx="381000" cy="254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17</xdr:col>
      <xdr:colOff>1162892</xdr:colOff>
      <xdr:row>104</xdr:row>
      <xdr:rowOff>116902</xdr:rowOff>
    </xdr:from>
    <xdr:to>
      <xdr:col>18</xdr:col>
      <xdr:colOff>3947711</xdr:colOff>
      <xdr:row>104</xdr:row>
      <xdr:rowOff>116902</xdr:rowOff>
    </xdr:to>
    <xdr:cxnSp macro="">
      <xdr:nvCxnSpPr>
        <xdr:cNvPr id="435" name="OpenSolver10">
          <a:extLst>
            <a:ext uri="{FF2B5EF4-FFF2-40B4-BE49-F238E27FC236}">
              <a16:creationId xmlns:a16="http://schemas.microsoft.com/office/drawing/2014/main" id="{37096BFF-A704-4B14-F418-86629A3A5C09}"/>
            </a:ext>
          </a:extLst>
        </xdr:cNvPr>
        <xdr:cNvCxnSpPr>
          <a:cxnSpLocks/>
        </xdr:cNvCxnSpPr>
      </xdr:nvCxnSpPr>
      <xdr:spPr>
        <a:xfrm>
          <a:off x="34182892" y="21660998"/>
          <a:ext cx="39630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1790700</xdr:colOff>
      <xdr:row>102</xdr:row>
      <xdr:rowOff>177800</xdr:rowOff>
    </xdr:from>
    <xdr:to>
      <xdr:col>18</xdr:col>
      <xdr:colOff>2171700</xdr:colOff>
      <xdr:row>104</xdr:row>
      <xdr:rowOff>25400</xdr:rowOff>
    </xdr:to>
    <xdr:sp macro="" textlink="">
      <xdr:nvSpPr>
        <xdr:cNvPr id="436" name="OpenSolver11">
          <a:extLst>
            <a:ext uri="{FF2B5EF4-FFF2-40B4-BE49-F238E27FC236}">
              <a16:creationId xmlns:a16="http://schemas.microsoft.com/office/drawing/2014/main" id="{269CC7B1-9A5A-8870-8E57-22F4BBBC28A8}"/>
            </a:ext>
          </a:extLst>
        </xdr:cNvPr>
        <xdr:cNvSpPr/>
      </xdr:nvSpPr>
      <xdr:spPr>
        <a:xfrm>
          <a:off x="35991800" y="21640800"/>
          <a:ext cx="381000" cy="254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17</xdr:col>
      <xdr:colOff>0</xdr:colOff>
      <xdr:row>54</xdr:row>
      <xdr:rowOff>0</xdr:rowOff>
    </xdr:from>
    <xdr:to>
      <xdr:col>18</xdr:col>
      <xdr:colOff>0</xdr:colOff>
      <xdr:row>73</xdr:row>
      <xdr:rowOff>0</xdr:rowOff>
    </xdr:to>
    <xdr:sp macro="" textlink="">
      <xdr:nvSpPr>
        <xdr:cNvPr id="437" name="OpenSolver12">
          <a:extLst>
            <a:ext uri="{FF2B5EF4-FFF2-40B4-BE49-F238E27FC236}">
              <a16:creationId xmlns:a16="http://schemas.microsoft.com/office/drawing/2014/main" id="{DBA0AFAF-B612-A296-52EB-B0C613DB6B22}"/>
            </a:ext>
          </a:extLst>
        </xdr:cNvPr>
        <xdr:cNvSpPr/>
      </xdr:nvSpPr>
      <xdr:spPr>
        <a:xfrm>
          <a:off x="33020000" y="11709400"/>
          <a:ext cx="1181100" cy="386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s-ES_trad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19</xdr:col>
      <xdr:colOff>0</xdr:colOff>
      <xdr:row>54</xdr:row>
      <xdr:rowOff>0</xdr:rowOff>
    </xdr:from>
    <xdr:to>
      <xdr:col>20</xdr:col>
      <xdr:colOff>0</xdr:colOff>
      <xdr:row>73</xdr:row>
      <xdr:rowOff>0</xdr:rowOff>
    </xdr:to>
    <xdr:sp macro="" textlink="">
      <xdr:nvSpPr>
        <xdr:cNvPr id="438" name="OpenSolver13">
          <a:extLst>
            <a:ext uri="{FF2B5EF4-FFF2-40B4-BE49-F238E27FC236}">
              <a16:creationId xmlns:a16="http://schemas.microsoft.com/office/drawing/2014/main" id="{EB1C4B8E-7236-CE3C-E45A-0E482AF1F57A}"/>
            </a:ext>
          </a:extLst>
        </xdr:cNvPr>
        <xdr:cNvSpPr/>
      </xdr:nvSpPr>
      <xdr:spPr>
        <a:xfrm>
          <a:off x="38163500" y="11709400"/>
          <a:ext cx="2362200" cy="386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s-ES_tradnl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18</xdr:col>
      <xdr:colOff>0</xdr:colOff>
      <xdr:row>63</xdr:row>
      <xdr:rowOff>101600</xdr:rowOff>
    </xdr:from>
    <xdr:to>
      <xdr:col>19</xdr:col>
      <xdr:colOff>0</xdr:colOff>
      <xdr:row>63</xdr:row>
      <xdr:rowOff>101600</xdr:rowOff>
    </xdr:to>
    <xdr:cxnSp macro="">
      <xdr:nvCxnSpPr>
        <xdr:cNvPr id="439" name="OpenSolver14">
          <a:extLst>
            <a:ext uri="{FF2B5EF4-FFF2-40B4-BE49-F238E27FC236}">
              <a16:creationId xmlns:a16="http://schemas.microsoft.com/office/drawing/2014/main" id="{06138C88-2095-8BFB-3A0E-B6828268B6F6}"/>
            </a:ext>
          </a:extLst>
        </xdr:cNvPr>
        <xdr:cNvCxnSpPr>
          <a:stCxn id="437" idx="3"/>
          <a:endCxn id="438" idx="1"/>
        </xdr:cNvCxnSpPr>
      </xdr:nvCxnSpPr>
      <xdr:spPr>
        <a:xfrm>
          <a:off x="34201100" y="13639800"/>
          <a:ext cx="39624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1790700</xdr:colOff>
      <xdr:row>62</xdr:row>
      <xdr:rowOff>177800</xdr:rowOff>
    </xdr:from>
    <xdr:to>
      <xdr:col>18</xdr:col>
      <xdr:colOff>2171700</xdr:colOff>
      <xdr:row>64</xdr:row>
      <xdr:rowOff>25400</xdr:rowOff>
    </xdr:to>
    <xdr:sp macro="" textlink="">
      <xdr:nvSpPr>
        <xdr:cNvPr id="440" name="OpenSolver15">
          <a:extLst>
            <a:ext uri="{FF2B5EF4-FFF2-40B4-BE49-F238E27FC236}">
              <a16:creationId xmlns:a16="http://schemas.microsoft.com/office/drawing/2014/main" id="{504A2032-6EA9-06D6-45F9-A6BFC2548311}"/>
            </a:ext>
          </a:extLst>
        </xdr:cNvPr>
        <xdr:cNvSpPr/>
      </xdr:nvSpPr>
      <xdr:spPr>
        <a:xfrm>
          <a:off x="35991800" y="13512800"/>
          <a:ext cx="381000" cy="254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17</xdr:col>
      <xdr:colOff>0</xdr:colOff>
      <xdr:row>14</xdr:row>
      <xdr:rowOff>0</xdr:rowOff>
    </xdr:from>
    <xdr:to>
      <xdr:col>18</xdr:col>
      <xdr:colOff>0</xdr:colOff>
      <xdr:row>15</xdr:row>
      <xdr:rowOff>0</xdr:rowOff>
    </xdr:to>
    <xdr:sp macro="" textlink="">
      <xdr:nvSpPr>
        <xdr:cNvPr id="441" name="OpenSolver16">
          <a:extLst>
            <a:ext uri="{FF2B5EF4-FFF2-40B4-BE49-F238E27FC236}">
              <a16:creationId xmlns:a16="http://schemas.microsoft.com/office/drawing/2014/main" id="{BE0E7EA6-B5C8-2E85-864B-B3AE8A13900B}"/>
            </a:ext>
          </a:extLst>
        </xdr:cNvPr>
        <xdr:cNvSpPr/>
      </xdr:nvSpPr>
      <xdr:spPr>
        <a:xfrm>
          <a:off x="33020000" y="3098800"/>
          <a:ext cx="1181100" cy="21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s-ES_trad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18</xdr:col>
      <xdr:colOff>0</xdr:colOff>
      <xdr:row>14</xdr:row>
      <xdr:rowOff>107950</xdr:rowOff>
    </xdr:from>
    <xdr:to>
      <xdr:col>19</xdr:col>
      <xdr:colOff>0</xdr:colOff>
      <xdr:row>14</xdr:row>
      <xdr:rowOff>107950</xdr:rowOff>
    </xdr:to>
    <xdr:cxnSp macro="">
      <xdr:nvCxnSpPr>
        <xdr:cNvPr id="443" name="OpenSolver18">
          <a:extLst>
            <a:ext uri="{FF2B5EF4-FFF2-40B4-BE49-F238E27FC236}">
              <a16:creationId xmlns:a16="http://schemas.microsoft.com/office/drawing/2014/main" id="{1B33AE82-8B45-C242-6DB3-A6AF4D827750}"/>
            </a:ext>
          </a:extLst>
        </xdr:cNvPr>
        <xdr:cNvCxnSpPr>
          <a:cxnSpLocks/>
          <a:stCxn id="441" idx="3"/>
        </xdr:cNvCxnSpPr>
      </xdr:nvCxnSpPr>
      <xdr:spPr>
        <a:xfrm>
          <a:off x="34201100" y="3206750"/>
          <a:ext cx="39624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1790700</xdr:colOff>
      <xdr:row>13</xdr:row>
      <xdr:rowOff>184150</xdr:rowOff>
    </xdr:from>
    <xdr:to>
      <xdr:col>18</xdr:col>
      <xdr:colOff>2171700</xdr:colOff>
      <xdr:row>15</xdr:row>
      <xdr:rowOff>19050</xdr:rowOff>
    </xdr:to>
    <xdr:sp macro="" textlink="">
      <xdr:nvSpPr>
        <xdr:cNvPr id="444" name="OpenSolver19">
          <a:extLst>
            <a:ext uri="{FF2B5EF4-FFF2-40B4-BE49-F238E27FC236}">
              <a16:creationId xmlns:a16="http://schemas.microsoft.com/office/drawing/2014/main" id="{9E054816-3CB0-5C9E-3E2F-105795ADE2F6}"/>
            </a:ext>
          </a:extLst>
        </xdr:cNvPr>
        <xdr:cNvSpPr/>
      </xdr:nvSpPr>
      <xdr:spPr>
        <a:xfrm>
          <a:off x="35991800" y="3079750"/>
          <a:ext cx="381000" cy="254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20</xdr:col>
      <xdr:colOff>1350885</xdr:colOff>
      <xdr:row>12</xdr:row>
      <xdr:rowOff>139802</xdr:rowOff>
    </xdr:from>
    <xdr:to>
      <xdr:col>24</xdr:col>
      <xdr:colOff>113392</xdr:colOff>
      <xdr:row>28</xdr:row>
      <xdr:rowOff>136072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EDA4C69-2B53-B2B0-93CA-91A1C5822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793750</xdr:colOff>
      <xdr:row>12</xdr:row>
      <xdr:rowOff>170089</xdr:rowOff>
    </xdr:from>
    <xdr:to>
      <xdr:col>30</xdr:col>
      <xdr:colOff>79374</xdr:colOff>
      <xdr:row>28</xdr:row>
      <xdr:rowOff>68037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1960CAB-B40D-534B-3335-19E7B820F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95CB-09EA-304A-A969-5554BDE879EC}">
  <dimension ref="A1:H257"/>
  <sheetViews>
    <sheetView showGridLines="0" tabSelected="1" topLeftCell="A209" workbookViewId="0">
      <selection activeCell="B6" sqref="B6:H6"/>
    </sheetView>
  </sheetViews>
  <sheetFormatPr baseColWidth="10" defaultRowHeight="16" x14ac:dyDescent="0.2"/>
  <cols>
    <col min="1" max="1" width="5.83203125" style="41" customWidth="1"/>
    <col min="2" max="2" width="11.1640625" bestFit="1" customWidth="1"/>
    <col min="3" max="3" width="52.83203125" bestFit="1" customWidth="1"/>
    <col min="4" max="4" width="11.1640625" bestFit="1" customWidth="1"/>
    <col min="5" max="5" width="13.33203125" bestFit="1" customWidth="1"/>
    <col min="6" max="6" width="13.83203125" bestFit="1" customWidth="1"/>
    <col min="7" max="7" width="16.5" bestFit="1" customWidth="1"/>
    <col min="8" max="8" width="17.33203125" bestFit="1" customWidth="1"/>
  </cols>
  <sheetData>
    <row r="1" spans="1:8" x14ac:dyDescent="0.2">
      <c r="A1" s="41" t="s">
        <v>202</v>
      </c>
    </row>
    <row r="2" spans="1:8" x14ac:dyDescent="0.2">
      <c r="A2" s="41" t="s">
        <v>627</v>
      </c>
      <c r="B2" s="31"/>
      <c r="C2" s="31"/>
      <c r="D2" s="31"/>
      <c r="E2" s="31"/>
      <c r="F2" s="31"/>
      <c r="G2" s="31"/>
      <c r="H2" s="31"/>
    </row>
    <row r="3" spans="1:8" x14ac:dyDescent="0.2">
      <c r="A3" s="41" t="s">
        <v>629</v>
      </c>
      <c r="B3" s="31"/>
      <c r="C3" s="31"/>
      <c r="D3" s="31"/>
      <c r="E3" s="31"/>
      <c r="F3" s="31"/>
      <c r="G3" s="31"/>
      <c r="H3" s="31"/>
    </row>
    <row r="4" spans="1:8" x14ac:dyDescent="0.2">
      <c r="B4" s="31"/>
      <c r="C4" s="31"/>
      <c r="D4" s="31"/>
      <c r="E4" s="31"/>
      <c r="F4" s="31"/>
      <c r="G4" s="31"/>
      <c r="H4" s="31"/>
    </row>
    <row r="5" spans="1:8" ht="17" thickBot="1" x14ac:dyDescent="0.25">
      <c r="A5" s="41" t="s">
        <v>203</v>
      </c>
      <c r="B5" s="31"/>
      <c r="C5" s="31"/>
      <c r="D5" s="31"/>
      <c r="E5" s="31"/>
      <c r="F5" s="31"/>
      <c r="G5" s="31"/>
      <c r="H5" s="31"/>
    </row>
    <row r="6" spans="1:8" ht="17" thickBot="1" x14ac:dyDescent="0.25">
      <c r="B6" s="38" t="s">
        <v>204</v>
      </c>
      <c r="C6" s="39" t="s">
        <v>205</v>
      </c>
      <c r="D6" s="39" t="s">
        <v>206</v>
      </c>
      <c r="E6" s="39" t="s">
        <v>207</v>
      </c>
      <c r="F6" s="39" t="s">
        <v>208</v>
      </c>
      <c r="G6" s="39" t="s">
        <v>209</v>
      </c>
      <c r="H6" s="40" t="s">
        <v>210</v>
      </c>
    </row>
    <row r="7" spans="1:8" x14ac:dyDescent="0.2">
      <c r="B7" s="32" t="s">
        <v>211</v>
      </c>
      <c r="C7" s="33" t="s">
        <v>212</v>
      </c>
      <c r="D7" s="33">
        <v>0</v>
      </c>
      <c r="E7" s="33">
        <v>-651.19011999999998</v>
      </c>
      <c r="F7" s="33">
        <v>339.31000000005588</v>
      </c>
      <c r="G7" s="33">
        <v>651.19012199999997</v>
      </c>
      <c r="H7" s="34">
        <v>1E+100</v>
      </c>
    </row>
    <row r="8" spans="1:8" x14ac:dyDescent="0.2">
      <c r="B8" s="32" t="s">
        <v>213</v>
      </c>
      <c r="C8" s="33" t="s">
        <v>214</v>
      </c>
      <c r="D8" s="33">
        <v>0</v>
      </c>
      <c r="E8" s="33">
        <v>-430.53841999999997</v>
      </c>
      <c r="F8" s="33">
        <v>894.54000000003725</v>
      </c>
      <c r="G8" s="33">
        <v>430.53841729999999</v>
      </c>
      <c r="H8" s="34">
        <v>1E+100</v>
      </c>
    </row>
    <row r="9" spans="1:8" x14ac:dyDescent="0.2">
      <c r="B9" s="32" t="s">
        <v>215</v>
      </c>
      <c r="C9" s="33" t="s">
        <v>216</v>
      </c>
      <c r="D9" s="33">
        <v>1</v>
      </c>
      <c r="E9" s="33">
        <v>0</v>
      </c>
      <c r="F9" s="33">
        <v>1895.3999999999069</v>
      </c>
      <c r="G9" s="33">
        <v>1E+100</v>
      </c>
      <c r="H9" s="34">
        <v>430.53841740000001</v>
      </c>
    </row>
    <row r="10" spans="1:8" x14ac:dyDescent="0.2">
      <c r="B10" s="32" t="s">
        <v>217</v>
      </c>
      <c r="C10" s="33" t="s">
        <v>219</v>
      </c>
      <c r="D10" s="33">
        <v>0</v>
      </c>
      <c r="E10" s="33">
        <v>-2068.0509000000002</v>
      </c>
      <c r="F10" s="33">
        <v>1261.4750000000931</v>
      </c>
      <c r="G10" s="33">
        <v>2068.0508789999999</v>
      </c>
      <c r="H10" s="34">
        <v>1E+100</v>
      </c>
    </row>
    <row r="11" spans="1:8" x14ac:dyDescent="0.2">
      <c r="B11" s="32" t="s">
        <v>218</v>
      </c>
      <c r="C11" s="33" t="s">
        <v>221</v>
      </c>
      <c r="D11" s="33">
        <v>0</v>
      </c>
      <c r="E11" s="33">
        <v>-1930.7764999999999</v>
      </c>
      <c r="F11" s="33">
        <v>1410.5</v>
      </c>
      <c r="G11" s="33">
        <v>1930.776525</v>
      </c>
      <c r="H11" s="34">
        <v>1E+100</v>
      </c>
    </row>
    <row r="12" spans="1:8" x14ac:dyDescent="0.2">
      <c r="B12" s="32" t="s">
        <v>220</v>
      </c>
      <c r="C12" s="33" t="s">
        <v>223</v>
      </c>
      <c r="D12" s="33">
        <v>1</v>
      </c>
      <c r="E12" s="33">
        <v>0</v>
      </c>
      <c r="F12" s="33">
        <v>5662.25</v>
      </c>
      <c r="G12" s="33">
        <v>1E+100</v>
      </c>
      <c r="H12" s="34">
        <v>1930.776525</v>
      </c>
    </row>
    <row r="13" spans="1:8" x14ac:dyDescent="0.2">
      <c r="B13" s="32" t="s">
        <v>222</v>
      </c>
      <c r="C13" s="33" t="s">
        <v>212</v>
      </c>
      <c r="D13" s="33">
        <v>0</v>
      </c>
      <c r="E13" s="33">
        <v>-8.0135071</v>
      </c>
      <c r="F13" s="33">
        <v>291.14999999990687</v>
      </c>
      <c r="G13" s="33">
        <v>8.0135070909999992</v>
      </c>
      <c r="H13" s="34">
        <v>1E+100</v>
      </c>
    </row>
    <row r="14" spans="1:8" x14ac:dyDescent="0.2">
      <c r="B14" s="32" t="s">
        <v>224</v>
      </c>
      <c r="C14" s="33" t="s">
        <v>214</v>
      </c>
      <c r="D14" s="33">
        <v>0.24689031</v>
      </c>
      <c r="E14" s="33">
        <v>0</v>
      </c>
      <c r="F14" s="33">
        <v>744.60000000009313</v>
      </c>
      <c r="G14" s="33">
        <v>80.859065330000007</v>
      </c>
      <c r="H14" s="34">
        <v>5.105014894</v>
      </c>
    </row>
    <row r="15" spans="1:8" x14ac:dyDescent="0.2">
      <c r="B15" s="32" t="s">
        <v>225</v>
      </c>
      <c r="C15" s="33" t="s">
        <v>216</v>
      </c>
      <c r="D15" s="33">
        <v>0.75310969000000005</v>
      </c>
      <c r="E15" s="33">
        <v>0</v>
      </c>
      <c r="F15" s="33">
        <v>1540.5</v>
      </c>
      <c r="G15" s="33">
        <v>14.065388370000001</v>
      </c>
      <c r="H15" s="34">
        <v>80.859065330000007</v>
      </c>
    </row>
    <row r="16" spans="1:8" x14ac:dyDescent="0.2">
      <c r="B16" s="32" t="s">
        <v>226</v>
      </c>
      <c r="C16" s="33" t="s">
        <v>219</v>
      </c>
      <c r="D16" s="33">
        <v>0</v>
      </c>
      <c r="E16" s="33">
        <v>-389.12815000000001</v>
      </c>
      <c r="F16" s="33">
        <v>1059</v>
      </c>
      <c r="G16" s="33">
        <v>389.1281515</v>
      </c>
      <c r="H16" s="34">
        <v>1E+100</v>
      </c>
    </row>
    <row r="17" spans="2:8" x14ac:dyDescent="0.2">
      <c r="B17" s="32" t="s">
        <v>227</v>
      </c>
      <c r="C17" s="33" t="s">
        <v>221</v>
      </c>
      <c r="D17" s="33">
        <v>0</v>
      </c>
      <c r="E17" s="33">
        <v>-303.88652000000002</v>
      </c>
      <c r="F17" s="33">
        <v>1183</v>
      </c>
      <c r="G17" s="33">
        <v>303.88652209999998</v>
      </c>
      <c r="H17" s="34">
        <v>1E+100</v>
      </c>
    </row>
    <row r="18" spans="2:8" x14ac:dyDescent="0.2">
      <c r="B18" s="32" t="s">
        <v>228</v>
      </c>
      <c r="C18" s="33" t="s">
        <v>223</v>
      </c>
      <c r="D18" s="33">
        <v>1</v>
      </c>
      <c r="E18" s="33">
        <v>0</v>
      </c>
      <c r="F18" s="33">
        <v>4656</v>
      </c>
      <c r="G18" s="33">
        <v>1E+100</v>
      </c>
      <c r="H18" s="34">
        <v>303.88652230000002</v>
      </c>
    </row>
    <row r="19" spans="2:8" x14ac:dyDescent="0.2">
      <c r="B19" s="32" t="s">
        <v>229</v>
      </c>
      <c r="C19" s="33" t="s">
        <v>212</v>
      </c>
      <c r="D19" s="33">
        <v>0</v>
      </c>
      <c r="E19" s="33">
        <v>-8.0135071</v>
      </c>
      <c r="F19" s="33">
        <v>291.14999999990687</v>
      </c>
      <c r="G19" s="33">
        <v>8.0135070909999992</v>
      </c>
      <c r="H19" s="34">
        <v>1E+100</v>
      </c>
    </row>
    <row r="20" spans="2:8" x14ac:dyDescent="0.2">
      <c r="B20" s="32" t="s">
        <v>230</v>
      </c>
      <c r="C20" s="33" t="s">
        <v>214</v>
      </c>
      <c r="D20" s="33">
        <v>0.24689031</v>
      </c>
      <c r="E20" s="33">
        <v>0</v>
      </c>
      <c r="F20" s="33">
        <v>744.60000000009313</v>
      </c>
      <c r="G20" s="33">
        <v>108.1212803</v>
      </c>
      <c r="H20" s="34">
        <v>5.105014894</v>
      </c>
    </row>
    <row r="21" spans="2:8" x14ac:dyDescent="0.2">
      <c r="B21" s="32" t="s">
        <v>231</v>
      </c>
      <c r="C21" s="33" t="s">
        <v>216</v>
      </c>
      <c r="D21" s="33">
        <v>0.75310969000000005</v>
      </c>
      <c r="E21" s="33">
        <v>0</v>
      </c>
      <c r="F21" s="33">
        <v>1540.5</v>
      </c>
      <c r="G21" s="33">
        <v>14.065388370000001</v>
      </c>
      <c r="H21" s="34">
        <v>108.1212803</v>
      </c>
    </row>
    <row r="22" spans="2:8" x14ac:dyDescent="0.2">
      <c r="B22" s="32" t="s">
        <v>232</v>
      </c>
      <c r="C22" s="33" t="s">
        <v>219</v>
      </c>
      <c r="D22" s="33">
        <v>0</v>
      </c>
      <c r="E22" s="33">
        <v>-389.12815000000001</v>
      </c>
      <c r="F22" s="33">
        <v>1059</v>
      </c>
      <c r="G22" s="33">
        <v>389.1281515</v>
      </c>
      <c r="H22" s="34">
        <v>1E+100</v>
      </c>
    </row>
    <row r="23" spans="2:8" x14ac:dyDescent="0.2">
      <c r="B23" s="32" t="s">
        <v>233</v>
      </c>
      <c r="C23" s="33" t="s">
        <v>221</v>
      </c>
      <c r="D23" s="33">
        <v>0</v>
      </c>
      <c r="E23" s="33">
        <v>-303.88652000000002</v>
      </c>
      <c r="F23" s="33">
        <v>1183</v>
      </c>
      <c r="G23" s="33">
        <v>303.88652209999998</v>
      </c>
      <c r="H23" s="34">
        <v>1E+100</v>
      </c>
    </row>
    <row r="24" spans="2:8" x14ac:dyDescent="0.2">
      <c r="B24" s="32" t="s">
        <v>234</v>
      </c>
      <c r="C24" s="33" t="s">
        <v>223</v>
      </c>
      <c r="D24" s="33">
        <v>1</v>
      </c>
      <c r="E24" s="33">
        <v>0</v>
      </c>
      <c r="F24" s="33">
        <v>4656</v>
      </c>
      <c r="G24" s="33">
        <v>1E+100</v>
      </c>
      <c r="H24" s="34">
        <v>303.88652230000002</v>
      </c>
    </row>
    <row r="25" spans="2:8" x14ac:dyDescent="0.2">
      <c r="B25" s="32" t="s">
        <v>235</v>
      </c>
      <c r="C25" s="33" t="s">
        <v>212</v>
      </c>
      <c r="D25" s="33">
        <v>0</v>
      </c>
      <c r="E25" s="33">
        <v>-8.0135071</v>
      </c>
      <c r="F25" s="33">
        <v>291.14999999990687</v>
      </c>
      <c r="G25" s="33">
        <v>8.0135070909999992</v>
      </c>
      <c r="H25" s="34">
        <v>1E+100</v>
      </c>
    </row>
    <row r="26" spans="2:8" x14ac:dyDescent="0.2">
      <c r="B26" s="32" t="s">
        <v>236</v>
      </c>
      <c r="C26" s="33" t="s">
        <v>214</v>
      </c>
      <c r="D26" s="33">
        <v>0.80663399999999996</v>
      </c>
      <c r="E26" s="33">
        <v>0</v>
      </c>
      <c r="F26" s="33">
        <v>744.60000000009313</v>
      </c>
      <c r="G26" s="33">
        <v>411.54944499999999</v>
      </c>
      <c r="H26" s="34">
        <v>5.105014894</v>
      </c>
    </row>
    <row r="27" spans="2:8" x14ac:dyDescent="0.2">
      <c r="B27" s="32" t="s">
        <v>237</v>
      </c>
      <c r="C27" s="33" t="s">
        <v>216</v>
      </c>
      <c r="D27" s="33">
        <v>0.19336600000000001</v>
      </c>
      <c r="E27" s="33">
        <v>0</v>
      </c>
      <c r="F27" s="33">
        <v>1540.5</v>
      </c>
      <c r="G27" s="33">
        <v>13.088996010000001</v>
      </c>
      <c r="H27" s="34">
        <v>411.54944499999999</v>
      </c>
    </row>
    <row r="28" spans="2:8" x14ac:dyDescent="0.2">
      <c r="B28" s="32" t="s">
        <v>238</v>
      </c>
      <c r="C28" s="33" t="s">
        <v>219</v>
      </c>
      <c r="D28" s="33">
        <v>0</v>
      </c>
      <c r="E28" s="33">
        <v>-389.12815000000001</v>
      </c>
      <c r="F28" s="33">
        <v>1059</v>
      </c>
      <c r="G28" s="33">
        <v>389.1281515</v>
      </c>
      <c r="H28" s="34">
        <v>1E+100</v>
      </c>
    </row>
    <row r="29" spans="2:8" x14ac:dyDescent="0.2">
      <c r="B29" s="32" t="s">
        <v>239</v>
      </c>
      <c r="C29" s="33" t="s">
        <v>221</v>
      </c>
      <c r="D29" s="33">
        <v>0</v>
      </c>
      <c r="E29" s="33">
        <v>-303.88652000000002</v>
      </c>
      <c r="F29" s="33">
        <v>1183</v>
      </c>
      <c r="G29" s="33">
        <v>303.88652209999998</v>
      </c>
      <c r="H29" s="34">
        <v>1E+100</v>
      </c>
    </row>
    <row r="30" spans="2:8" x14ac:dyDescent="0.2">
      <c r="B30" s="32" t="s">
        <v>240</v>
      </c>
      <c r="C30" s="33" t="s">
        <v>223</v>
      </c>
      <c r="D30" s="33">
        <v>1</v>
      </c>
      <c r="E30" s="33">
        <v>0</v>
      </c>
      <c r="F30" s="33">
        <v>4656</v>
      </c>
      <c r="G30" s="33">
        <v>1E+100</v>
      </c>
      <c r="H30" s="34">
        <v>303.88652230000002</v>
      </c>
    </row>
    <row r="31" spans="2:8" x14ac:dyDescent="0.2">
      <c r="B31" s="32" t="s">
        <v>241</v>
      </c>
      <c r="C31" s="33" t="s">
        <v>212</v>
      </c>
      <c r="D31" s="33">
        <v>0</v>
      </c>
      <c r="E31" s="33">
        <v>-8.0135071</v>
      </c>
      <c r="F31" s="33">
        <v>291.14999999990687</v>
      </c>
      <c r="G31" s="33">
        <v>8.0135070909999992</v>
      </c>
      <c r="H31" s="34">
        <v>1E+100</v>
      </c>
    </row>
    <row r="32" spans="2:8" x14ac:dyDescent="0.2">
      <c r="B32" s="32" t="s">
        <v>242</v>
      </c>
      <c r="C32" s="33" t="s">
        <v>214</v>
      </c>
      <c r="D32" s="33">
        <v>0.87259706000000004</v>
      </c>
      <c r="E32" s="33">
        <v>0</v>
      </c>
      <c r="F32" s="33">
        <v>744.60000000009313</v>
      </c>
      <c r="G32" s="33">
        <v>1E+100</v>
      </c>
      <c r="H32" s="34">
        <v>5.1050148950000001</v>
      </c>
    </row>
    <row r="33" spans="2:8" x14ac:dyDescent="0.2">
      <c r="B33" s="32" t="s">
        <v>243</v>
      </c>
      <c r="C33" s="33" t="s">
        <v>216</v>
      </c>
      <c r="D33" s="33">
        <v>0.12740293999999999</v>
      </c>
      <c r="E33" s="33">
        <v>0</v>
      </c>
      <c r="F33" s="33">
        <v>1540.5</v>
      </c>
      <c r="G33" s="33">
        <v>14.065388370000001</v>
      </c>
      <c r="H33" s="34">
        <v>1E+100</v>
      </c>
    </row>
    <row r="34" spans="2:8" x14ac:dyDescent="0.2">
      <c r="B34" s="32" t="s">
        <v>244</v>
      </c>
      <c r="C34" s="33" t="s">
        <v>219</v>
      </c>
      <c r="D34" s="33">
        <v>0</v>
      </c>
      <c r="E34" s="33">
        <v>-389.12815000000001</v>
      </c>
      <c r="F34" s="33">
        <v>1059</v>
      </c>
      <c r="G34" s="33">
        <v>389.1281515</v>
      </c>
      <c r="H34" s="34">
        <v>1E+100</v>
      </c>
    </row>
    <row r="35" spans="2:8" x14ac:dyDescent="0.2">
      <c r="B35" s="32" t="s">
        <v>245</v>
      </c>
      <c r="C35" s="33" t="s">
        <v>221</v>
      </c>
      <c r="D35" s="33">
        <v>0</v>
      </c>
      <c r="E35" s="33">
        <v>-303.88652000000002</v>
      </c>
      <c r="F35" s="33">
        <v>1183</v>
      </c>
      <c r="G35" s="33">
        <v>303.88652209999998</v>
      </c>
      <c r="H35" s="34">
        <v>1E+100</v>
      </c>
    </row>
    <row r="36" spans="2:8" x14ac:dyDescent="0.2">
      <c r="B36" s="32" t="s">
        <v>246</v>
      </c>
      <c r="C36" s="33" t="s">
        <v>223</v>
      </c>
      <c r="D36" s="33">
        <v>1</v>
      </c>
      <c r="E36" s="33">
        <v>0</v>
      </c>
      <c r="F36" s="33">
        <v>4656</v>
      </c>
      <c r="G36" s="33">
        <v>1E+100</v>
      </c>
      <c r="H36" s="34">
        <v>303.88652230000002</v>
      </c>
    </row>
    <row r="37" spans="2:8" x14ac:dyDescent="0.2">
      <c r="B37" s="32" t="s">
        <v>247</v>
      </c>
      <c r="C37" s="33" t="s">
        <v>212</v>
      </c>
      <c r="D37" s="33">
        <v>0</v>
      </c>
      <c r="E37" s="33">
        <v>-8.0135071</v>
      </c>
      <c r="F37" s="33">
        <v>291.14999999990687</v>
      </c>
      <c r="G37" s="33">
        <v>8.0135070909999992</v>
      </c>
      <c r="H37" s="34">
        <v>1E+100</v>
      </c>
    </row>
    <row r="38" spans="2:8" x14ac:dyDescent="0.2">
      <c r="B38" s="32" t="s">
        <v>248</v>
      </c>
      <c r="C38" s="33" t="s">
        <v>214</v>
      </c>
      <c r="D38" s="33">
        <v>0.24689031</v>
      </c>
      <c r="E38" s="33">
        <v>0</v>
      </c>
      <c r="F38" s="33">
        <v>744.60000000009313</v>
      </c>
      <c r="G38" s="33">
        <v>246.78921769999999</v>
      </c>
      <c r="H38" s="34">
        <v>5.1050148950000001</v>
      </c>
    </row>
    <row r="39" spans="2:8" x14ac:dyDescent="0.2">
      <c r="B39" s="32" t="s">
        <v>249</v>
      </c>
      <c r="C39" s="33" t="s">
        <v>216</v>
      </c>
      <c r="D39" s="33">
        <v>0.75310969000000005</v>
      </c>
      <c r="E39" s="33">
        <v>0</v>
      </c>
      <c r="F39" s="33">
        <v>1540.5</v>
      </c>
      <c r="G39" s="33">
        <v>14.06538838</v>
      </c>
      <c r="H39" s="34">
        <v>246.78921769999999</v>
      </c>
    </row>
    <row r="40" spans="2:8" x14ac:dyDescent="0.2">
      <c r="B40" s="32" t="s">
        <v>250</v>
      </c>
      <c r="C40" s="33" t="s">
        <v>219</v>
      </c>
      <c r="D40" s="33">
        <v>0</v>
      </c>
      <c r="E40" s="33">
        <v>-389.12815000000001</v>
      </c>
      <c r="F40" s="33">
        <v>1059</v>
      </c>
      <c r="G40" s="33">
        <v>389.1281515</v>
      </c>
      <c r="H40" s="34">
        <v>1E+100</v>
      </c>
    </row>
    <row r="41" spans="2:8" x14ac:dyDescent="0.2">
      <c r="B41" s="32" t="s">
        <v>251</v>
      </c>
      <c r="C41" s="33" t="s">
        <v>221</v>
      </c>
      <c r="D41" s="33">
        <v>0</v>
      </c>
      <c r="E41" s="33">
        <v>-303.88652000000002</v>
      </c>
      <c r="F41" s="33">
        <v>1183</v>
      </c>
      <c r="G41" s="33">
        <v>303.88652209999998</v>
      </c>
      <c r="H41" s="34">
        <v>1E+100</v>
      </c>
    </row>
    <row r="42" spans="2:8" x14ac:dyDescent="0.2">
      <c r="B42" s="32" t="s">
        <v>252</v>
      </c>
      <c r="C42" s="33" t="s">
        <v>223</v>
      </c>
      <c r="D42" s="33">
        <v>1</v>
      </c>
      <c r="E42" s="33">
        <v>0</v>
      </c>
      <c r="F42" s="33">
        <v>4656</v>
      </c>
      <c r="G42" s="33">
        <v>1E+100</v>
      </c>
      <c r="H42" s="34">
        <v>303.88652230000002</v>
      </c>
    </row>
    <row r="43" spans="2:8" x14ac:dyDescent="0.2">
      <c r="B43" s="32" t="s">
        <v>253</v>
      </c>
      <c r="C43" s="33" t="s">
        <v>266</v>
      </c>
      <c r="D43" s="33">
        <v>0</v>
      </c>
      <c r="E43" s="33">
        <v>-83.548387000000005</v>
      </c>
      <c r="F43" s="33">
        <v>248.82500000018626</v>
      </c>
      <c r="G43" s="33">
        <v>83.548386840000006</v>
      </c>
      <c r="H43" s="34">
        <v>1E+100</v>
      </c>
    </row>
    <row r="44" spans="2:8" x14ac:dyDescent="0.2">
      <c r="B44" s="32" t="s">
        <v>254</v>
      </c>
      <c r="C44" s="33" t="s">
        <v>268</v>
      </c>
      <c r="D44" s="33">
        <v>1</v>
      </c>
      <c r="E44" s="33">
        <v>0</v>
      </c>
      <c r="F44" s="33">
        <v>823.25</v>
      </c>
      <c r="G44" s="33">
        <v>1E+100</v>
      </c>
      <c r="H44" s="34">
        <v>83.548386919999999</v>
      </c>
    </row>
    <row r="45" spans="2:8" x14ac:dyDescent="0.2">
      <c r="B45" s="32" t="s">
        <v>255</v>
      </c>
      <c r="C45" s="33" t="s">
        <v>270</v>
      </c>
      <c r="D45" s="33">
        <v>0</v>
      </c>
      <c r="E45" s="33">
        <v>-163.85128</v>
      </c>
      <c r="F45" s="33">
        <v>1795</v>
      </c>
      <c r="G45" s="33">
        <v>163.85128409999999</v>
      </c>
      <c r="H45" s="34">
        <v>1E+100</v>
      </c>
    </row>
    <row r="46" spans="2:8" x14ac:dyDescent="0.2">
      <c r="B46" s="32" t="s">
        <v>256</v>
      </c>
      <c r="C46" s="33" t="s">
        <v>273</v>
      </c>
      <c r="D46" s="33">
        <v>0</v>
      </c>
      <c r="E46" s="33">
        <v>-365.59021000000001</v>
      </c>
      <c r="F46" s="33">
        <v>756</v>
      </c>
      <c r="G46" s="33">
        <v>365.59020870000001</v>
      </c>
      <c r="H46" s="34">
        <v>1E+100</v>
      </c>
    </row>
    <row r="47" spans="2:8" x14ac:dyDescent="0.2">
      <c r="B47" s="32" t="s">
        <v>257</v>
      </c>
      <c r="C47" s="33" t="s">
        <v>275</v>
      </c>
      <c r="D47" s="33">
        <v>0</v>
      </c>
      <c r="E47" s="33">
        <v>0</v>
      </c>
      <c r="F47" s="33">
        <v>2808.5</v>
      </c>
      <c r="G47" s="33">
        <v>0</v>
      </c>
      <c r="H47" s="34">
        <v>1E+100</v>
      </c>
    </row>
    <row r="48" spans="2:8" x14ac:dyDescent="0.2">
      <c r="B48" s="32" t="s">
        <v>258</v>
      </c>
      <c r="C48" s="33" t="s">
        <v>277</v>
      </c>
      <c r="D48" s="33">
        <v>1</v>
      </c>
      <c r="E48" s="33">
        <v>0</v>
      </c>
      <c r="F48" s="33">
        <v>6478</v>
      </c>
      <c r="G48" s="33">
        <v>1E+100</v>
      </c>
      <c r="H48" s="34">
        <v>0</v>
      </c>
    </row>
    <row r="49" spans="2:8" x14ac:dyDescent="0.2">
      <c r="B49" s="32" t="s">
        <v>259</v>
      </c>
      <c r="C49" s="33" t="s">
        <v>266</v>
      </c>
      <c r="D49" s="33">
        <v>0</v>
      </c>
      <c r="E49" s="33">
        <v>-103.58911999999999</v>
      </c>
      <c r="F49" s="33">
        <v>106.4499999997206</v>
      </c>
      <c r="G49" s="33">
        <v>103.5891172</v>
      </c>
      <c r="H49" s="34">
        <v>1E+100</v>
      </c>
    </row>
    <row r="50" spans="2:8" x14ac:dyDescent="0.2">
      <c r="B50" s="32" t="s">
        <v>260</v>
      </c>
      <c r="C50" s="33" t="s">
        <v>268</v>
      </c>
      <c r="D50" s="33">
        <v>0</v>
      </c>
      <c r="E50" s="33">
        <v>-350.41573</v>
      </c>
      <c r="F50" s="33">
        <v>350.5</v>
      </c>
      <c r="G50" s="33">
        <v>350.41573030000001</v>
      </c>
      <c r="H50" s="34">
        <v>1E+100</v>
      </c>
    </row>
    <row r="51" spans="2:8" x14ac:dyDescent="0.2">
      <c r="B51" s="32" t="s">
        <v>261</v>
      </c>
      <c r="C51" s="33" t="s">
        <v>270</v>
      </c>
      <c r="D51" s="33">
        <v>0</v>
      </c>
      <c r="E51" s="33">
        <v>-1159.5170000000001</v>
      </c>
      <c r="F51" s="33">
        <v>677</v>
      </c>
      <c r="G51" s="33">
        <v>1159.517014</v>
      </c>
      <c r="H51" s="34">
        <v>1E+100</v>
      </c>
    </row>
    <row r="52" spans="2:8" x14ac:dyDescent="0.2">
      <c r="B52" s="32" t="s">
        <v>262</v>
      </c>
      <c r="C52" s="33" t="s">
        <v>273</v>
      </c>
      <c r="D52" s="33">
        <v>0</v>
      </c>
      <c r="E52" s="33">
        <v>-365.59021000000001</v>
      </c>
      <c r="F52" s="33">
        <v>756</v>
      </c>
      <c r="G52" s="33">
        <v>365.59020870000001</v>
      </c>
      <c r="H52" s="34">
        <v>1E+100</v>
      </c>
    </row>
    <row r="53" spans="2:8" x14ac:dyDescent="0.2">
      <c r="B53" s="32" t="s">
        <v>263</v>
      </c>
      <c r="C53" s="33" t="s">
        <v>275</v>
      </c>
      <c r="D53" s="33">
        <v>0</v>
      </c>
      <c r="E53" s="33">
        <v>0</v>
      </c>
      <c r="F53" s="33">
        <v>2808.5</v>
      </c>
      <c r="G53" s="33">
        <v>0</v>
      </c>
      <c r="H53" s="34">
        <v>1E+100</v>
      </c>
    </row>
    <row r="54" spans="2:8" x14ac:dyDescent="0.2">
      <c r="B54" s="32" t="s">
        <v>264</v>
      </c>
      <c r="C54" s="33" t="s">
        <v>277</v>
      </c>
      <c r="D54" s="33">
        <v>1</v>
      </c>
      <c r="E54" s="33">
        <v>0</v>
      </c>
      <c r="F54" s="33">
        <v>6478</v>
      </c>
      <c r="G54" s="33">
        <v>1E+100</v>
      </c>
      <c r="H54" s="34">
        <v>0</v>
      </c>
    </row>
    <row r="55" spans="2:8" x14ac:dyDescent="0.2">
      <c r="B55" s="32" t="s">
        <v>265</v>
      </c>
      <c r="C55" s="33" t="s">
        <v>266</v>
      </c>
      <c r="D55" s="33">
        <v>0</v>
      </c>
      <c r="E55" s="33">
        <v>-103.58911999999999</v>
      </c>
      <c r="F55" s="33">
        <v>106.4499999997206</v>
      </c>
      <c r="G55" s="33">
        <v>103.5891172</v>
      </c>
      <c r="H55" s="34">
        <v>1E+100</v>
      </c>
    </row>
    <row r="56" spans="2:8" x14ac:dyDescent="0.2">
      <c r="B56" s="32" t="s">
        <v>267</v>
      </c>
      <c r="C56" s="33" t="s">
        <v>268</v>
      </c>
      <c r="D56" s="33">
        <v>0</v>
      </c>
      <c r="E56" s="33">
        <v>-350.41573</v>
      </c>
      <c r="F56" s="33">
        <v>350.5</v>
      </c>
      <c r="G56" s="33">
        <v>350.41573030000001</v>
      </c>
      <c r="H56" s="34">
        <v>1E+100</v>
      </c>
    </row>
    <row r="57" spans="2:8" x14ac:dyDescent="0.2">
      <c r="B57" s="32" t="s">
        <v>269</v>
      </c>
      <c r="C57" s="33" t="s">
        <v>270</v>
      </c>
      <c r="D57" s="33">
        <v>0</v>
      </c>
      <c r="E57" s="33">
        <v>-1159.5170000000001</v>
      </c>
      <c r="F57" s="33">
        <v>677</v>
      </c>
      <c r="G57" s="33">
        <v>1159.517014</v>
      </c>
      <c r="H57" s="34">
        <v>1E+100</v>
      </c>
    </row>
    <row r="58" spans="2:8" x14ac:dyDescent="0.2">
      <c r="B58" s="32" t="s">
        <v>271</v>
      </c>
      <c r="C58" s="33" t="s">
        <v>273</v>
      </c>
      <c r="D58" s="33">
        <v>0</v>
      </c>
      <c r="E58" s="33">
        <v>-365.59021000000001</v>
      </c>
      <c r="F58" s="33">
        <v>756</v>
      </c>
      <c r="G58" s="33">
        <v>365.59020870000001</v>
      </c>
      <c r="H58" s="34">
        <v>1E+100</v>
      </c>
    </row>
    <row r="59" spans="2:8" x14ac:dyDescent="0.2">
      <c r="B59" s="32" t="s">
        <v>272</v>
      </c>
      <c r="C59" s="33" t="s">
        <v>275</v>
      </c>
      <c r="D59" s="33">
        <v>0.10768538</v>
      </c>
      <c r="E59" s="33">
        <v>0</v>
      </c>
      <c r="F59" s="33">
        <v>2808.5</v>
      </c>
      <c r="G59" s="33">
        <v>0</v>
      </c>
      <c r="H59" s="34">
        <v>0</v>
      </c>
    </row>
    <row r="60" spans="2:8" x14ac:dyDescent="0.2">
      <c r="B60" s="32" t="s">
        <v>274</v>
      </c>
      <c r="C60" s="33" t="s">
        <v>277</v>
      </c>
      <c r="D60" s="33">
        <v>0.89231461999999995</v>
      </c>
      <c r="E60" s="33">
        <v>0</v>
      </c>
      <c r="F60" s="33">
        <v>6478</v>
      </c>
      <c r="G60" s="33">
        <v>0</v>
      </c>
      <c r="H60" s="34">
        <v>0</v>
      </c>
    </row>
    <row r="61" spans="2:8" x14ac:dyDescent="0.2">
      <c r="B61" s="32" t="s">
        <v>276</v>
      </c>
      <c r="C61" s="33" t="s">
        <v>266</v>
      </c>
      <c r="D61" s="33">
        <v>0</v>
      </c>
      <c r="E61" s="33">
        <v>-103.58911999999999</v>
      </c>
      <c r="F61" s="33">
        <v>106.4499999997206</v>
      </c>
      <c r="G61" s="33">
        <v>103.5891172</v>
      </c>
      <c r="H61" s="34">
        <v>1E+100</v>
      </c>
    </row>
    <row r="62" spans="2:8" x14ac:dyDescent="0.2">
      <c r="B62" s="32" t="s">
        <v>278</v>
      </c>
      <c r="C62" s="33" t="s">
        <v>268</v>
      </c>
      <c r="D62" s="33">
        <v>0</v>
      </c>
      <c r="E62" s="33">
        <v>-350.41573</v>
      </c>
      <c r="F62" s="33">
        <v>350.5</v>
      </c>
      <c r="G62" s="33">
        <v>350.41573030000001</v>
      </c>
      <c r="H62" s="34">
        <v>1E+100</v>
      </c>
    </row>
    <row r="63" spans="2:8" x14ac:dyDescent="0.2">
      <c r="B63" s="32" t="s">
        <v>279</v>
      </c>
      <c r="C63" s="33" t="s">
        <v>270</v>
      </c>
      <c r="D63" s="33">
        <v>0</v>
      </c>
      <c r="E63" s="33">
        <v>-1159.5170000000001</v>
      </c>
      <c r="F63" s="33">
        <v>677</v>
      </c>
      <c r="G63" s="33">
        <v>1159.517014</v>
      </c>
      <c r="H63" s="34">
        <v>1E+100</v>
      </c>
    </row>
    <row r="64" spans="2:8" x14ac:dyDescent="0.2">
      <c r="B64" s="32" t="s">
        <v>280</v>
      </c>
      <c r="C64" s="33" t="s">
        <v>273</v>
      </c>
      <c r="D64" s="33">
        <v>0</v>
      </c>
      <c r="E64" s="33">
        <v>-365.59021000000001</v>
      </c>
      <c r="F64" s="33">
        <v>756</v>
      </c>
      <c r="G64" s="33">
        <v>365.59020870000001</v>
      </c>
      <c r="H64" s="34">
        <v>1E+100</v>
      </c>
    </row>
    <row r="65" spans="2:8" x14ac:dyDescent="0.2">
      <c r="B65" s="32" t="s">
        <v>281</v>
      </c>
      <c r="C65" s="33" t="s">
        <v>275</v>
      </c>
      <c r="D65" s="33">
        <v>0</v>
      </c>
      <c r="E65" s="33">
        <v>0</v>
      </c>
      <c r="F65" s="33">
        <v>2808.5</v>
      </c>
      <c r="G65" s="33">
        <v>0</v>
      </c>
      <c r="H65" s="34">
        <v>1E+100</v>
      </c>
    </row>
    <row r="66" spans="2:8" x14ac:dyDescent="0.2">
      <c r="B66" s="32" t="s">
        <v>282</v>
      </c>
      <c r="C66" s="33" t="s">
        <v>277</v>
      </c>
      <c r="D66" s="33">
        <v>1</v>
      </c>
      <c r="E66" s="33">
        <v>0</v>
      </c>
      <c r="F66" s="33">
        <v>6478</v>
      </c>
      <c r="G66" s="33">
        <v>1E+100</v>
      </c>
      <c r="H66" s="34">
        <v>0</v>
      </c>
    </row>
    <row r="67" spans="2:8" x14ac:dyDescent="0.2">
      <c r="B67" s="32" t="s">
        <v>283</v>
      </c>
      <c r="C67" s="33" t="s">
        <v>266</v>
      </c>
      <c r="D67" s="33">
        <v>0</v>
      </c>
      <c r="E67" s="33">
        <v>-103.58911999999999</v>
      </c>
      <c r="F67" s="33">
        <v>106.4499999997206</v>
      </c>
      <c r="G67" s="33">
        <v>103.5891172</v>
      </c>
      <c r="H67" s="34">
        <v>1E+100</v>
      </c>
    </row>
    <row r="68" spans="2:8" x14ac:dyDescent="0.2">
      <c r="B68" s="32" t="s">
        <v>284</v>
      </c>
      <c r="C68" s="33" t="s">
        <v>268</v>
      </c>
      <c r="D68" s="33">
        <v>0</v>
      </c>
      <c r="E68" s="33">
        <v>-350.41573</v>
      </c>
      <c r="F68" s="33">
        <v>350.5</v>
      </c>
      <c r="G68" s="33">
        <v>350.41573030000001</v>
      </c>
      <c r="H68" s="34">
        <v>1E+100</v>
      </c>
    </row>
    <row r="69" spans="2:8" x14ac:dyDescent="0.2">
      <c r="B69" s="32" t="s">
        <v>285</v>
      </c>
      <c r="C69" s="33" t="s">
        <v>270</v>
      </c>
      <c r="D69" s="33">
        <v>0</v>
      </c>
      <c r="E69" s="33">
        <v>-1159.5170000000001</v>
      </c>
      <c r="F69" s="33">
        <v>677</v>
      </c>
      <c r="G69" s="33">
        <v>1159.517014</v>
      </c>
      <c r="H69" s="34">
        <v>1E+100</v>
      </c>
    </row>
    <row r="70" spans="2:8" x14ac:dyDescent="0.2">
      <c r="B70" s="32" t="s">
        <v>286</v>
      </c>
      <c r="C70" s="33" t="s">
        <v>273</v>
      </c>
      <c r="D70" s="33">
        <v>0</v>
      </c>
      <c r="E70" s="33">
        <v>-365.59021000000001</v>
      </c>
      <c r="F70" s="33">
        <v>756</v>
      </c>
      <c r="G70" s="33">
        <v>365.59020870000001</v>
      </c>
      <c r="H70" s="34">
        <v>1E+100</v>
      </c>
    </row>
    <row r="71" spans="2:8" x14ac:dyDescent="0.2">
      <c r="B71" s="32" t="s">
        <v>287</v>
      </c>
      <c r="C71" s="33" t="s">
        <v>275</v>
      </c>
      <c r="D71" s="33">
        <v>0.35018395000000002</v>
      </c>
      <c r="E71" s="33">
        <v>0</v>
      </c>
      <c r="F71" s="33">
        <v>2808.5</v>
      </c>
      <c r="G71" s="33">
        <v>3570.8808429999999</v>
      </c>
      <c r="H71" s="34">
        <v>0</v>
      </c>
    </row>
    <row r="72" spans="2:8" x14ac:dyDescent="0.2">
      <c r="B72" s="32" t="s">
        <v>288</v>
      </c>
      <c r="C72" s="33" t="s">
        <v>277</v>
      </c>
      <c r="D72" s="33">
        <v>0.64981604999999998</v>
      </c>
      <c r="E72" s="33">
        <v>0</v>
      </c>
      <c r="F72" s="33">
        <v>6478</v>
      </c>
      <c r="G72" s="33">
        <v>0</v>
      </c>
      <c r="H72" s="34">
        <v>3570.8808429999999</v>
      </c>
    </row>
    <row r="73" spans="2:8" x14ac:dyDescent="0.2">
      <c r="B73" s="32" t="s">
        <v>289</v>
      </c>
      <c r="C73" s="33" t="s">
        <v>266</v>
      </c>
      <c r="D73" s="33">
        <v>0</v>
      </c>
      <c r="E73" s="33">
        <v>-103.58911999999999</v>
      </c>
      <c r="F73" s="33">
        <v>106.4499999997206</v>
      </c>
      <c r="G73" s="33">
        <v>103.5891172</v>
      </c>
      <c r="H73" s="34">
        <v>1E+100</v>
      </c>
    </row>
    <row r="74" spans="2:8" x14ac:dyDescent="0.2">
      <c r="B74" s="32" t="s">
        <v>290</v>
      </c>
      <c r="C74" s="33" t="s">
        <v>268</v>
      </c>
      <c r="D74" s="33">
        <v>0</v>
      </c>
      <c r="E74" s="33">
        <v>-350.41573</v>
      </c>
      <c r="F74" s="33">
        <v>350.5</v>
      </c>
      <c r="G74" s="33">
        <v>350.41573030000001</v>
      </c>
      <c r="H74" s="34">
        <v>1E+100</v>
      </c>
    </row>
    <row r="75" spans="2:8" x14ac:dyDescent="0.2">
      <c r="B75" s="32" t="s">
        <v>291</v>
      </c>
      <c r="C75" s="33" t="s">
        <v>270</v>
      </c>
      <c r="D75" s="33">
        <v>0</v>
      </c>
      <c r="E75" s="33">
        <v>-1159.5170000000001</v>
      </c>
      <c r="F75" s="33">
        <v>677</v>
      </c>
      <c r="G75" s="33">
        <v>1159.517014</v>
      </c>
      <c r="H75" s="34">
        <v>1E+100</v>
      </c>
    </row>
    <row r="76" spans="2:8" x14ac:dyDescent="0.2">
      <c r="B76" s="32" t="s">
        <v>292</v>
      </c>
      <c r="C76" s="33" t="s">
        <v>273</v>
      </c>
      <c r="D76" s="33">
        <v>0</v>
      </c>
      <c r="E76" s="33">
        <v>-365.59021000000001</v>
      </c>
      <c r="F76" s="33">
        <v>756</v>
      </c>
      <c r="G76" s="33">
        <v>365.59020870000001</v>
      </c>
      <c r="H76" s="34">
        <v>1E+100</v>
      </c>
    </row>
    <row r="77" spans="2:8" x14ac:dyDescent="0.2">
      <c r="B77" s="32" t="s">
        <v>293</v>
      </c>
      <c r="C77" s="33" t="s">
        <v>275</v>
      </c>
      <c r="D77" s="33">
        <v>0</v>
      </c>
      <c r="E77" s="33">
        <v>0</v>
      </c>
      <c r="F77" s="33">
        <v>2808.5</v>
      </c>
      <c r="G77" s="33">
        <v>0</v>
      </c>
      <c r="H77" s="34">
        <v>1E+100</v>
      </c>
    </row>
    <row r="78" spans="2:8" x14ac:dyDescent="0.2">
      <c r="B78" s="32" t="s">
        <v>294</v>
      </c>
      <c r="C78" s="33" t="s">
        <v>277</v>
      </c>
      <c r="D78" s="33">
        <v>1</v>
      </c>
      <c r="E78" s="33">
        <v>0</v>
      </c>
      <c r="F78" s="33">
        <v>6478</v>
      </c>
      <c r="G78" s="33">
        <v>1E+100</v>
      </c>
      <c r="H78" s="34">
        <v>0</v>
      </c>
    </row>
    <row r="79" spans="2:8" x14ac:dyDescent="0.2">
      <c r="B79" s="32" t="s">
        <v>295</v>
      </c>
      <c r="C79" s="33" t="s">
        <v>320</v>
      </c>
      <c r="D79" s="33">
        <v>0</v>
      </c>
      <c r="E79" s="33">
        <v>-266.22498000000002</v>
      </c>
      <c r="F79" s="33">
        <v>188.25</v>
      </c>
      <c r="G79" s="33">
        <v>266.22497670000001</v>
      </c>
      <c r="H79" s="34">
        <v>1E+100</v>
      </c>
    </row>
    <row r="80" spans="2:8" x14ac:dyDescent="0.2">
      <c r="B80" s="32" t="s">
        <v>296</v>
      </c>
      <c r="C80" s="33" t="s">
        <v>322</v>
      </c>
      <c r="D80" s="33">
        <v>0</v>
      </c>
      <c r="E80" s="33">
        <v>-142.93034</v>
      </c>
      <c r="F80" s="33">
        <v>571.875</v>
      </c>
      <c r="G80" s="33">
        <v>142.93033829999999</v>
      </c>
      <c r="H80" s="34">
        <v>1E+100</v>
      </c>
    </row>
    <row r="81" spans="2:8" x14ac:dyDescent="0.2">
      <c r="B81" s="32" t="s">
        <v>297</v>
      </c>
      <c r="C81" s="33" t="s">
        <v>324</v>
      </c>
      <c r="D81" s="33">
        <v>1</v>
      </c>
      <c r="E81" s="33">
        <v>0</v>
      </c>
      <c r="F81" s="33">
        <v>1144.5</v>
      </c>
      <c r="G81" s="33">
        <v>1E+100</v>
      </c>
      <c r="H81" s="34">
        <v>142.93033829999999</v>
      </c>
    </row>
    <row r="82" spans="2:8" x14ac:dyDescent="0.2">
      <c r="B82" s="32" t="s">
        <v>298</v>
      </c>
      <c r="C82" s="33" t="s">
        <v>327</v>
      </c>
      <c r="D82" s="33">
        <v>0</v>
      </c>
      <c r="E82" s="33">
        <v>-1530.0360000000001</v>
      </c>
      <c r="F82" s="33">
        <v>508</v>
      </c>
      <c r="G82" s="33">
        <v>1530.035969</v>
      </c>
      <c r="H82" s="34">
        <v>1E+100</v>
      </c>
    </row>
    <row r="83" spans="2:8" x14ac:dyDescent="0.2">
      <c r="B83" s="32" t="s">
        <v>299</v>
      </c>
      <c r="C83" s="33" t="s">
        <v>329</v>
      </c>
      <c r="D83" s="33">
        <v>0</v>
      </c>
      <c r="E83" s="33">
        <v>-904.80215999999996</v>
      </c>
      <c r="F83" s="33">
        <v>1888</v>
      </c>
      <c r="G83" s="33">
        <v>904.80215799999996</v>
      </c>
      <c r="H83" s="34">
        <v>1E+100</v>
      </c>
    </row>
    <row r="84" spans="2:8" x14ac:dyDescent="0.2">
      <c r="B84" s="32" t="s">
        <v>300</v>
      </c>
      <c r="C84" s="33" t="s">
        <v>331</v>
      </c>
      <c r="D84" s="33">
        <v>1</v>
      </c>
      <c r="E84" s="33">
        <v>0</v>
      </c>
      <c r="F84" s="33">
        <v>4680</v>
      </c>
      <c r="G84" s="33">
        <v>1E+100</v>
      </c>
      <c r="H84" s="34">
        <v>904.80215820000001</v>
      </c>
    </row>
    <row r="85" spans="2:8" x14ac:dyDescent="0.2">
      <c r="B85" s="32" t="s">
        <v>301</v>
      </c>
      <c r="C85" s="33" t="s">
        <v>320</v>
      </c>
      <c r="D85" s="33">
        <v>0</v>
      </c>
      <c r="E85" s="33">
        <v>-618.91760999999997</v>
      </c>
      <c r="F85" s="33">
        <v>188.25</v>
      </c>
      <c r="G85" s="33">
        <v>618.91761259999998</v>
      </c>
      <c r="H85" s="34">
        <v>1E+100</v>
      </c>
    </row>
    <row r="86" spans="2:8" x14ac:dyDescent="0.2">
      <c r="B86" s="32" t="s">
        <v>302</v>
      </c>
      <c r="C86" s="33" t="s">
        <v>322</v>
      </c>
      <c r="D86" s="33">
        <v>0</v>
      </c>
      <c r="E86" s="33">
        <v>-354.13099</v>
      </c>
      <c r="F86" s="33">
        <v>571.875</v>
      </c>
      <c r="G86" s="33">
        <v>354.13098730000002</v>
      </c>
      <c r="H86" s="34">
        <v>1E+100</v>
      </c>
    </row>
    <row r="87" spans="2:8" x14ac:dyDescent="0.2">
      <c r="B87" s="32" t="s">
        <v>303</v>
      </c>
      <c r="C87" s="33" t="s">
        <v>324</v>
      </c>
      <c r="D87" s="33">
        <v>1</v>
      </c>
      <c r="E87" s="33">
        <v>0</v>
      </c>
      <c r="F87" s="33">
        <v>1144.5</v>
      </c>
      <c r="G87" s="33">
        <v>1E+100</v>
      </c>
      <c r="H87" s="34">
        <v>354.13098739999998</v>
      </c>
    </row>
    <row r="88" spans="2:8" x14ac:dyDescent="0.2">
      <c r="B88" s="32" t="s">
        <v>304</v>
      </c>
      <c r="C88" s="33" t="s">
        <v>327</v>
      </c>
      <c r="D88" s="33">
        <v>0</v>
      </c>
      <c r="E88" s="33">
        <v>-3068.7901000000002</v>
      </c>
      <c r="F88" s="33">
        <v>508</v>
      </c>
      <c r="G88" s="33">
        <v>3068.7901419999998</v>
      </c>
      <c r="H88" s="34">
        <v>1E+100</v>
      </c>
    </row>
    <row r="89" spans="2:8" x14ac:dyDescent="0.2">
      <c r="B89" s="32" t="s">
        <v>305</v>
      </c>
      <c r="C89" s="33" t="s">
        <v>329</v>
      </c>
      <c r="D89" s="33">
        <v>0</v>
      </c>
      <c r="E89" s="33">
        <v>-1934.5724</v>
      </c>
      <c r="F89" s="33">
        <v>1888</v>
      </c>
      <c r="G89" s="33">
        <v>1934.5724479999999</v>
      </c>
      <c r="H89" s="34">
        <v>1E+100</v>
      </c>
    </row>
    <row r="90" spans="2:8" x14ac:dyDescent="0.2">
      <c r="B90" s="32" t="s">
        <v>306</v>
      </c>
      <c r="C90" s="33" t="s">
        <v>331</v>
      </c>
      <c r="D90" s="33">
        <v>1</v>
      </c>
      <c r="E90" s="33">
        <v>0</v>
      </c>
      <c r="F90" s="33">
        <v>4680</v>
      </c>
      <c r="G90" s="33">
        <v>1E+100</v>
      </c>
      <c r="H90" s="34">
        <v>1934.5724479999999</v>
      </c>
    </row>
    <row r="91" spans="2:8" x14ac:dyDescent="0.2">
      <c r="B91" s="32" t="s">
        <v>307</v>
      </c>
      <c r="C91" s="33" t="s">
        <v>320</v>
      </c>
      <c r="D91" s="33">
        <v>0</v>
      </c>
      <c r="E91" s="33">
        <v>-554.63143000000002</v>
      </c>
      <c r="F91" s="33">
        <v>188.25</v>
      </c>
      <c r="G91" s="33">
        <v>554.63143260000004</v>
      </c>
      <c r="H91" s="34">
        <v>1E+100</v>
      </c>
    </row>
    <row r="92" spans="2:8" x14ac:dyDescent="0.2">
      <c r="B92" s="32" t="s">
        <v>308</v>
      </c>
      <c r="C92" s="33" t="s">
        <v>322</v>
      </c>
      <c r="D92" s="33">
        <v>0</v>
      </c>
      <c r="E92" s="33">
        <v>-315.63490999999999</v>
      </c>
      <c r="F92" s="33">
        <v>571.875</v>
      </c>
      <c r="G92" s="33">
        <v>315.63491010000001</v>
      </c>
      <c r="H92" s="34">
        <v>1E+100</v>
      </c>
    </row>
    <row r="93" spans="2:8" x14ac:dyDescent="0.2">
      <c r="B93" s="32" t="s">
        <v>309</v>
      </c>
      <c r="C93" s="33" t="s">
        <v>324</v>
      </c>
      <c r="D93" s="33">
        <v>1</v>
      </c>
      <c r="E93" s="33">
        <v>0</v>
      </c>
      <c r="F93" s="33">
        <v>1144.5</v>
      </c>
      <c r="G93" s="33">
        <v>1E+100</v>
      </c>
      <c r="H93" s="34">
        <v>315.63491019999998</v>
      </c>
    </row>
    <row r="94" spans="2:8" x14ac:dyDescent="0.2">
      <c r="B94" s="32" t="s">
        <v>310</v>
      </c>
      <c r="C94" s="33" t="s">
        <v>327</v>
      </c>
      <c r="D94" s="33">
        <v>0</v>
      </c>
      <c r="E94" s="33">
        <v>-2788.3175000000001</v>
      </c>
      <c r="F94" s="33">
        <v>508</v>
      </c>
      <c r="G94" s="33">
        <v>2788.3175219999998</v>
      </c>
      <c r="H94" s="34">
        <v>1E+100</v>
      </c>
    </row>
    <row r="95" spans="2:8" x14ac:dyDescent="0.2">
      <c r="B95" s="32" t="s">
        <v>311</v>
      </c>
      <c r="C95" s="33" t="s">
        <v>329</v>
      </c>
      <c r="D95" s="33">
        <v>0</v>
      </c>
      <c r="E95" s="33">
        <v>-1746.8735999999999</v>
      </c>
      <c r="F95" s="33">
        <v>1888</v>
      </c>
      <c r="G95" s="33">
        <v>1746.873609</v>
      </c>
      <c r="H95" s="34">
        <v>1E+100</v>
      </c>
    </row>
    <row r="96" spans="2:8" x14ac:dyDescent="0.2">
      <c r="B96" s="32" t="s">
        <v>312</v>
      </c>
      <c r="C96" s="33" t="s">
        <v>331</v>
      </c>
      <c r="D96" s="33">
        <v>1</v>
      </c>
      <c r="E96" s="33">
        <v>0</v>
      </c>
      <c r="F96" s="33">
        <v>4680</v>
      </c>
      <c r="G96" s="33">
        <v>1E+100</v>
      </c>
      <c r="H96" s="34">
        <v>1746.873609</v>
      </c>
    </row>
    <row r="97" spans="2:8" x14ac:dyDescent="0.2">
      <c r="B97" s="32" t="s">
        <v>313</v>
      </c>
      <c r="C97" s="33" t="s">
        <v>350</v>
      </c>
      <c r="D97" s="33">
        <v>0</v>
      </c>
      <c r="E97" s="33">
        <v>-16.479293999999999</v>
      </c>
      <c r="F97" s="33">
        <v>157.5</v>
      </c>
      <c r="G97" s="33">
        <v>16.479293739999999</v>
      </c>
      <c r="H97" s="34">
        <v>1E+100</v>
      </c>
    </row>
    <row r="98" spans="2:8" x14ac:dyDescent="0.2">
      <c r="B98" s="32" t="s">
        <v>314</v>
      </c>
      <c r="C98" s="33" t="s">
        <v>352</v>
      </c>
      <c r="D98" s="33">
        <v>1</v>
      </c>
      <c r="E98" s="33">
        <v>0</v>
      </c>
      <c r="F98" s="33">
        <v>505</v>
      </c>
      <c r="G98" s="33">
        <v>1E+100</v>
      </c>
      <c r="H98" s="34">
        <v>16.479293810000001</v>
      </c>
    </row>
    <row r="99" spans="2:8" x14ac:dyDescent="0.2">
      <c r="B99" s="32" t="s">
        <v>315</v>
      </c>
      <c r="C99" s="33" t="s">
        <v>354</v>
      </c>
      <c r="D99" s="33">
        <v>0</v>
      </c>
      <c r="E99" s="33">
        <v>-21.779615</v>
      </c>
      <c r="F99" s="33">
        <v>1170</v>
      </c>
      <c r="G99" s="33">
        <v>21.779614769999998</v>
      </c>
      <c r="H99" s="34">
        <v>1E+100</v>
      </c>
    </row>
    <row r="100" spans="2:8" x14ac:dyDescent="0.2">
      <c r="B100" s="32" t="s">
        <v>316</v>
      </c>
      <c r="C100" s="33" t="s">
        <v>357</v>
      </c>
      <c r="D100" s="33">
        <v>0</v>
      </c>
      <c r="E100" s="33">
        <v>-494.52713</v>
      </c>
      <c r="F100" s="33">
        <v>428.5</v>
      </c>
      <c r="G100" s="33">
        <v>494.52712680000002</v>
      </c>
      <c r="H100" s="34">
        <v>1E+100</v>
      </c>
    </row>
    <row r="101" spans="2:8" x14ac:dyDescent="0.2">
      <c r="B101" s="32" t="s">
        <v>317</v>
      </c>
      <c r="C101" s="33" t="s">
        <v>359</v>
      </c>
      <c r="D101" s="33">
        <v>0</v>
      </c>
      <c r="E101" s="33">
        <v>-276.74108999999999</v>
      </c>
      <c r="F101" s="33">
        <v>1620.5</v>
      </c>
      <c r="G101" s="33">
        <v>276.74109149999998</v>
      </c>
      <c r="H101" s="34">
        <v>1E+100</v>
      </c>
    </row>
    <row r="102" spans="2:8" x14ac:dyDescent="0.2">
      <c r="B102" s="32" t="s">
        <v>318</v>
      </c>
      <c r="C102" s="33" t="s">
        <v>361</v>
      </c>
      <c r="D102" s="33">
        <v>1</v>
      </c>
      <c r="E102" s="33">
        <v>0</v>
      </c>
      <c r="F102" s="33">
        <v>5922.5</v>
      </c>
      <c r="G102" s="33">
        <v>1E+100</v>
      </c>
      <c r="H102" s="34">
        <v>276.74109170000003</v>
      </c>
    </row>
    <row r="103" spans="2:8" x14ac:dyDescent="0.2">
      <c r="B103" s="32" t="s">
        <v>319</v>
      </c>
      <c r="C103" s="33" t="s">
        <v>350</v>
      </c>
      <c r="D103" s="33">
        <v>0</v>
      </c>
      <c r="E103" s="33">
        <v>-16.479293999999999</v>
      </c>
      <c r="F103" s="33">
        <v>157.5</v>
      </c>
      <c r="G103" s="33">
        <v>16.479293739999999</v>
      </c>
      <c r="H103" s="34">
        <v>1E+100</v>
      </c>
    </row>
    <row r="104" spans="2:8" x14ac:dyDescent="0.2">
      <c r="B104" s="32" t="s">
        <v>321</v>
      </c>
      <c r="C104" s="33" t="s">
        <v>352</v>
      </c>
      <c r="D104" s="33">
        <v>1</v>
      </c>
      <c r="E104" s="33">
        <v>0</v>
      </c>
      <c r="F104" s="33">
        <v>505</v>
      </c>
      <c r="G104" s="33">
        <v>1E+100</v>
      </c>
      <c r="H104" s="34">
        <v>16.479293810000001</v>
      </c>
    </row>
    <row r="105" spans="2:8" x14ac:dyDescent="0.2">
      <c r="B105" s="32" t="s">
        <v>323</v>
      </c>
      <c r="C105" s="33" t="s">
        <v>354</v>
      </c>
      <c r="D105" s="33">
        <v>0</v>
      </c>
      <c r="E105" s="33">
        <v>-21.779615</v>
      </c>
      <c r="F105" s="33">
        <v>1170</v>
      </c>
      <c r="G105" s="33">
        <v>21.779614769999998</v>
      </c>
      <c r="H105" s="34">
        <v>1E+100</v>
      </c>
    </row>
    <row r="106" spans="2:8" x14ac:dyDescent="0.2">
      <c r="B106" s="32" t="s">
        <v>325</v>
      </c>
      <c r="C106" s="33" t="s">
        <v>357</v>
      </c>
      <c r="D106" s="33">
        <v>0</v>
      </c>
      <c r="E106" s="33">
        <v>-494.52713</v>
      </c>
      <c r="F106" s="33">
        <v>428.5</v>
      </c>
      <c r="G106" s="33">
        <v>494.52712680000002</v>
      </c>
      <c r="H106" s="34">
        <v>1E+100</v>
      </c>
    </row>
    <row r="107" spans="2:8" x14ac:dyDescent="0.2">
      <c r="B107" s="32" t="s">
        <v>326</v>
      </c>
      <c r="C107" s="33" t="s">
        <v>359</v>
      </c>
      <c r="D107" s="33">
        <v>0</v>
      </c>
      <c r="E107" s="33">
        <v>-276.74108999999999</v>
      </c>
      <c r="F107" s="33">
        <v>1620.5</v>
      </c>
      <c r="G107" s="33">
        <v>276.74109149999998</v>
      </c>
      <c r="H107" s="34">
        <v>1E+100</v>
      </c>
    </row>
    <row r="108" spans="2:8" x14ac:dyDescent="0.2">
      <c r="B108" s="32" t="s">
        <v>328</v>
      </c>
      <c r="C108" s="33" t="s">
        <v>361</v>
      </c>
      <c r="D108" s="33">
        <v>1</v>
      </c>
      <c r="E108" s="33">
        <v>0</v>
      </c>
      <c r="F108" s="33">
        <v>5922.5</v>
      </c>
      <c r="G108" s="33">
        <v>1E+100</v>
      </c>
      <c r="H108" s="34">
        <v>276.74109170000003</v>
      </c>
    </row>
    <row r="109" spans="2:8" x14ac:dyDescent="0.2">
      <c r="B109" s="32" t="s">
        <v>330</v>
      </c>
      <c r="C109" s="33" t="s">
        <v>350</v>
      </c>
      <c r="D109" s="33">
        <v>0</v>
      </c>
      <c r="E109" s="33">
        <v>-16.479293999999999</v>
      </c>
      <c r="F109" s="33">
        <v>157.5</v>
      </c>
      <c r="G109" s="33">
        <v>16.479293739999999</v>
      </c>
      <c r="H109" s="34">
        <v>1E+100</v>
      </c>
    </row>
    <row r="110" spans="2:8" x14ac:dyDescent="0.2">
      <c r="B110" s="32" t="s">
        <v>332</v>
      </c>
      <c r="C110" s="33" t="s">
        <v>352</v>
      </c>
      <c r="D110" s="33">
        <v>1</v>
      </c>
      <c r="E110" s="33">
        <v>0</v>
      </c>
      <c r="F110" s="33">
        <v>505</v>
      </c>
      <c r="G110" s="33">
        <v>1E+100</v>
      </c>
      <c r="H110" s="34">
        <v>16.479293810000001</v>
      </c>
    </row>
    <row r="111" spans="2:8" x14ac:dyDescent="0.2">
      <c r="B111" s="32" t="s">
        <v>333</v>
      </c>
      <c r="C111" s="33" t="s">
        <v>354</v>
      </c>
      <c r="D111" s="33">
        <v>0</v>
      </c>
      <c r="E111" s="33">
        <v>-21.779615</v>
      </c>
      <c r="F111" s="33">
        <v>1170</v>
      </c>
      <c r="G111" s="33">
        <v>21.779614769999998</v>
      </c>
      <c r="H111" s="34">
        <v>1E+100</v>
      </c>
    </row>
    <row r="112" spans="2:8" x14ac:dyDescent="0.2">
      <c r="B112" s="32" t="s">
        <v>334</v>
      </c>
      <c r="C112" s="33" t="s">
        <v>357</v>
      </c>
      <c r="D112" s="33">
        <v>0</v>
      </c>
      <c r="E112" s="33">
        <v>-494.52713</v>
      </c>
      <c r="F112" s="33">
        <v>428.5</v>
      </c>
      <c r="G112" s="33">
        <v>494.52712680000002</v>
      </c>
      <c r="H112" s="34">
        <v>1E+100</v>
      </c>
    </row>
    <row r="113" spans="2:8" x14ac:dyDescent="0.2">
      <c r="B113" s="32" t="s">
        <v>335</v>
      </c>
      <c r="C113" s="33" t="s">
        <v>359</v>
      </c>
      <c r="D113" s="33">
        <v>0</v>
      </c>
      <c r="E113" s="33">
        <v>-276.74108999999999</v>
      </c>
      <c r="F113" s="33">
        <v>1620.5</v>
      </c>
      <c r="G113" s="33">
        <v>276.74109149999998</v>
      </c>
      <c r="H113" s="34">
        <v>1E+100</v>
      </c>
    </row>
    <row r="114" spans="2:8" x14ac:dyDescent="0.2">
      <c r="B114" s="32" t="s">
        <v>336</v>
      </c>
      <c r="C114" s="33" t="s">
        <v>361</v>
      </c>
      <c r="D114" s="33">
        <v>1</v>
      </c>
      <c r="E114" s="33">
        <v>0</v>
      </c>
      <c r="F114" s="33">
        <v>5922.5</v>
      </c>
      <c r="G114" s="33">
        <v>1E+100</v>
      </c>
      <c r="H114" s="34">
        <v>276.74109170000003</v>
      </c>
    </row>
    <row r="115" spans="2:8" x14ac:dyDescent="0.2">
      <c r="B115" s="32" t="s">
        <v>337</v>
      </c>
      <c r="C115" s="33" t="s">
        <v>350</v>
      </c>
      <c r="D115" s="33">
        <v>0</v>
      </c>
      <c r="E115" s="33">
        <v>-16.479293999999999</v>
      </c>
      <c r="F115" s="33">
        <v>157.5</v>
      </c>
      <c r="G115" s="33">
        <v>16.479293739999999</v>
      </c>
      <c r="H115" s="34">
        <v>1E+100</v>
      </c>
    </row>
    <row r="116" spans="2:8" x14ac:dyDescent="0.2">
      <c r="B116" s="32" t="s">
        <v>338</v>
      </c>
      <c r="C116" s="33" t="s">
        <v>352</v>
      </c>
      <c r="D116" s="33">
        <v>1</v>
      </c>
      <c r="E116" s="33">
        <v>0</v>
      </c>
      <c r="F116" s="33">
        <v>505</v>
      </c>
      <c r="G116" s="33">
        <v>1E+100</v>
      </c>
      <c r="H116" s="34">
        <v>16.479293810000001</v>
      </c>
    </row>
    <row r="117" spans="2:8" x14ac:dyDescent="0.2">
      <c r="B117" s="32" t="s">
        <v>339</v>
      </c>
      <c r="C117" s="33" t="s">
        <v>354</v>
      </c>
      <c r="D117" s="33">
        <v>0</v>
      </c>
      <c r="E117" s="33">
        <v>-21.779615</v>
      </c>
      <c r="F117" s="33">
        <v>1170</v>
      </c>
      <c r="G117" s="33">
        <v>21.779614769999998</v>
      </c>
      <c r="H117" s="34">
        <v>1E+100</v>
      </c>
    </row>
    <row r="118" spans="2:8" x14ac:dyDescent="0.2">
      <c r="B118" s="32" t="s">
        <v>340</v>
      </c>
      <c r="C118" s="33" t="s">
        <v>357</v>
      </c>
      <c r="D118" s="33">
        <v>0</v>
      </c>
      <c r="E118" s="33">
        <v>-805.92866000000004</v>
      </c>
      <c r="F118" s="33">
        <v>428.5</v>
      </c>
      <c r="G118" s="33">
        <v>805.92866289999995</v>
      </c>
      <c r="H118" s="34">
        <v>1E+100</v>
      </c>
    </row>
    <row r="119" spans="2:8" x14ac:dyDescent="0.2">
      <c r="B119" s="32" t="s">
        <v>341</v>
      </c>
      <c r="C119" s="33" t="s">
        <v>359</v>
      </c>
      <c r="D119" s="33">
        <v>0</v>
      </c>
      <c r="E119" s="33">
        <v>-502.93770000000001</v>
      </c>
      <c r="F119" s="33">
        <v>1620.5</v>
      </c>
      <c r="G119" s="33">
        <v>502.93769900000001</v>
      </c>
      <c r="H119" s="34">
        <v>1E+100</v>
      </c>
    </row>
    <row r="120" spans="2:8" x14ac:dyDescent="0.2">
      <c r="B120" s="32" t="s">
        <v>342</v>
      </c>
      <c r="C120" s="33" t="s">
        <v>361</v>
      </c>
      <c r="D120" s="33">
        <v>1</v>
      </c>
      <c r="E120" s="33">
        <v>0</v>
      </c>
      <c r="F120" s="33">
        <v>5922.5</v>
      </c>
      <c r="G120" s="33">
        <v>1E+100</v>
      </c>
      <c r="H120" s="34">
        <v>502.93769930000002</v>
      </c>
    </row>
    <row r="121" spans="2:8" x14ac:dyDescent="0.2">
      <c r="B121" s="32" t="s">
        <v>343</v>
      </c>
      <c r="C121" s="33" t="s">
        <v>388</v>
      </c>
      <c r="D121" s="33">
        <v>0.17014270000000001</v>
      </c>
      <c r="E121" s="33">
        <v>0</v>
      </c>
      <c r="F121" s="33">
        <v>455.5</v>
      </c>
      <c r="G121" s="33">
        <v>23.949919810000001</v>
      </c>
      <c r="H121" s="34">
        <v>58.973268249999997</v>
      </c>
    </row>
    <row r="122" spans="2:8" x14ac:dyDescent="0.2">
      <c r="B122" s="32" t="s">
        <v>344</v>
      </c>
      <c r="C122" s="33" t="s">
        <v>390</v>
      </c>
      <c r="D122" s="33">
        <v>0</v>
      </c>
      <c r="E122" s="33">
        <v>-72.286602000000002</v>
      </c>
      <c r="F122" s="33">
        <v>473</v>
      </c>
      <c r="G122" s="33">
        <v>72.286601959999999</v>
      </c>
      <c r="H122" s="34">
        <v>1E+100</v>
      </c>
    </row>
    <row r="123" spans="2:8" x14ac:dyDescent="0.2">
      <c r="B123" s="32" t="s">
        <v>345</v>
      </c>
      <c r="C123" s="33" t="s">
        <v>392</v>
      </c>
      <c r="D123" s="33">
        <v>0</v>
      </c>
      <c r="E123" s="33">
        <v>-84.027259000000001</v>
      </c>
      <c r="F123" s="33">
        <v>228.5</v>
      </c>
      <c r="G123" s="33">
        <v>84.027258860000003</v>
      </c>
      <c r="H123" s="34">
        <v>1E+100</v>
      </c>
    </row>
    <row r="124" spans="2:8" x14ac:dyDescent="0.2">
      <c r="B124" s="32" t="s">
        <v>346</v>
      </c>
      <c r="C124" s="33" t="s">
        <v>395</v>
      </c>
      <c r="D124" s="33">
        <v>0</v>
      </c>
      <c r="E124" s="33">
        <v>-69.978159000000005</v>
      </c>
      <c r="F124" s="33">
        <v>540.5</v>
      </c>
      <c r="G124" s="33">
        <v>69.978159070000004</v>
      </c>
      <c r="H124" s="34">
        <v>1E+100</v>
      </c>
    </row>
    <row r="125" spans="2:8" x14ac:dyDescent="0.2">
      <c r="B125" s="32" t="s">
        <v>347</v>
      </c>
      <c r="C125" s="33" t="s">
        <v>397</v>
      </c>
      <c r="D125" s="33">
        <v>0</v>
      </c>
      <c r="E125" s="33">
        <v>-79.082055999999994</v>
      </c>
      <c r="F125" s="33">
        <v>388.5</v>
      </c>
      <c r="G125" s="33">
        <v>79.082055510000004</v>
      </c>
      <c r="H125" s="34">
        <v>1E+100</v>
      </c>
    </row>
    <row r="126" spans="2:8" x14ac:dyDescent="0.2">
      <c r="B126" s="32" t="s">
        <v>348</v>
      </c>
      <c r="C126" s="33" t="s">
        <v>399</v>
      </c>
      <c r="D126" s="33">
        <v>0</v>
      </c>
      <c r="E126" s="33">
        <v>-29.665595</v>
      </c>
      <c r="F126" s="33">
        <v>292</v>
      </c>
      <c r="G126" s="33">
        <v>29.66559496</v>
      </c>
      <c r="H126" s="34">
        <v>1E+100</v>
      </c>
    </row>
    <row r="127" spans="2:8" x14ac:dyDescent="0.2">
      <c r="B127" s="32" t="s">
        <v>349</v>
      </c>
      <c r="C127" s="33" t="s">
        <v>402</v>
      </c>
      <c r="D127" s="33">
        <v>0</v>
      </c>
      <c r="E127" s="33">
        <v>-118.78060000000001</v>
      </c>
      <c r="F127" s="33">
        <v>719.75</v>
      </c>
      <c r="G127" s="33">
        <v>118.78060259999999</v>
      </c>
      <c r="H127" s="34">
        <v>1E+100</v>
      </c>
    </row>
    <row r="128" spans="2:8" x14ac:dyDescent="0.2">
      <c r="B128" s="32" t="s">
        <v>351</v>
      </c>
      <c r="C128" s="33" t="s">
        <v>404</v>
      </c>
      <c r="D128" s="33">
        <v>0</v>
      </c>
      <c r="E128" s="33">
        <v>-134.76066</v>
      </c>
      <c r="F128" s="33">
        <v>308.5</v>
      </c>
      <c r="G128" s="33">
        <v>134.76066069999999</v>
      </c>
      <c r="H128" s="34">
        <v>1E+100</v>
      </c>
    </row>
    <row r="129" spans="2:8" x14ac:dyDescent="0.2">
      <c r="B129" s="32" t="s">
        <v>353</v>
      </c>
      <c r="C129" s="33" t="s">
        <v>406</v>
      </c>
      <c r="D129" s="33">
        <v>0</v>
      </c>
      <c r="E129" s="33">
        <v>-57.599476000000003</v>
      </c>
      <c r="F129" s="33">
        <v>424</v>
      </c>
      <c r="G129" s="33">
        <v>57.5994758</v>
      </c>
      <c r="H129" s="34">
        <v>1E+100</v>
      </c>
    </row>
    <row r="130" spans="2:8" x14ac:dyDescent="0.2">
      <c r="B130" s="32" t="s">
        <v>355</v>
      </c>
      <c r="C130" s="33" t="s">
        <v>409</v>
      </c>
      <c r="D130" s="33">
        <v>1</v>
      </c>
      <c r="E130" s="33">
        <v>0</v>
      </c>
      <c r="F130" s="33">
        <v>445.5</v>
      </c>
      <c r="G130" s="33">
        <v>1E+100</v>
      </c>
      <c r="H130" s="34">
        <v>7.326482876</v>
      </c>
    </row>
    <row r="131" spans="2:8" x14ac:dyDescent="0.2">
      <c r="B131" s="32" t="s">
        <v>356</v>
      </c>
      <c r="C131" s="33" t="s">
        <v>411</v>
      </c>
      <c r="D131" s="33">
        <v>0</v>
      </c>
      <c r="E131" s="33">
        <v>-81.441182999999995</v>
      </c>
      <c r="F131" s="33">
        <v>603</v>
      </c>
      <c r="G131" s="33">
        <v>81.44118297</v>
      </c>
      <c r="H131" s="34">
        <v>1E+100</v>
      </c>
    </row>
    <row r="132" spans="2:8" x14ac:dyDescent="0.2">
      <c r="B132" s="32" t="s">
        <v>358</v>
      </c>
      <c r="C132" s="33" t="s">
        <v>413</v>
      </c>
      <c r="D132" s="33">
        <v>0</v>
      </c>
      <c r="E132" s="33">
        <v>-64.489034000000004</v>
      </c>
      <c r="F132" s="33">
        <v>302</v>
      </c>
      <c r="G132" s="33">
        <v>64.489033829999997</v>
      </c>
      <c r="H132" s="34">
        <v>1E+100</v>
      </c>
    </row>
    <row r="133" spans="2:8" x14ac:dyDescent="0.2">
      <c r="B133" s="32" t="s">
        <v>360</v>
      </c>
      <c r="C133" s="33" t="s">
        <v>416</v>
      </c>
      <c r="D133" s="33">
        <v>0</v>
      </c>
      <c r="E133" s="33">
        <v>-113.44992000000001</v>
      </c>
      <c r="F133" s="33">
        <v>388.5</v>
      </c>
      <c r="G133" s="33">
        <v>113.4499203</v>
      </c>
      <c r="H133" s="34">
        <v>1E+100</v>
      </c>
    </row>
    <row r="134" spans="2:8" x14ac:dyDescent="0.2">
      <c r="B134" s="32" t="s">
        <v>362</v>
      </c>
      <c r="C134" s="33" t="s">
        <v>418</v>
      </c>
      <c r="D134" s="33">
        <v>1</v>
      </c>
      <c r="E134" s="33">
        <v>0</v>
      </c>
      <c r="F134" s="33">
        <v>498</v>
      </c>
      <c r="G134" s="33">
        <v>1E+100</v>
      </c>
      <c r="H134" s="34">
        <v>34.367864900000001</v>
      </c>
    </row>
    <row r="135" spans="2:8" x14ac:dyDescent="0.2">
      <c r="B135" s="32" t="s">
        <v>363</v>
      </c>
      <c r="C135" s="33" t="s">
        <v>419</v>
      </c>
      <c r="D135" s="33">
        <v>0</v>
      </c>
      <c r="E135" s="33">
        <v>-123.20480000000001</v>
      </c>
      <c r="F135" s="33">
        <v>249</v>
      </c>
      <c r="G135" s="33">
        <v>123.2047992</v>
      </c>
      <c r="H135" s="34">
        <v>1E+100</v>
      </c>
    </row>
    <row r="136" spans="2:8" x14ac:dyDescent="0.2">
      <c r="B136" s="32" t="s">
        <v>364</v>
      </c>
      <c r="C136" s="33" t="s">
        <v>420</v>
      </c>
      <c r="D136" s="33">
        <v>0</v>
      </c>
      <c r="E136" s="33">
        <v>-120.15432</v>
      </c>
      <c r="F136" s="33">
        <v>387.5</v>
      </c>
      <c r="G136" s="33">
        <v>120.15431820000001</v>
      </c>
      <c r="H136" s="34">
        <v>1E+100</v>
      </c>
    </row>
    <row r="137" spans="2:8" x14ac:dyDescent="0.2">
      <c r="B137" s="32" t="s">
        <v>365</v>
      </c>
      <c r="C137" s="33" t="s">
        <v>421</v>
      </c>
      <c r="D137" s="33">
        <v>0</v>
      </c>
      <c r="E137" s="33">
        <v>-203.90933999999999</v>
      </c>
      <c r="F137" s="33">
        <v>269</v>
      </c>
      <c r="G137" s="33">
        <v>203.90933759999999</v>
      </c>
      <c r="H137" s="34">
        <v>1E+100</v>
      </c>
    </row>
    <row r="138" spans="2:8" x14ac:dyDescent="0.2">
      <c r="B138" s="32" t="s">
        <v>366</v>
      </c>
      <c r="C138" s="33" t="s">
        <v>422</v>
      </c>
      <c r="D138" s="33">
        <v>0</v>
      </c>
      <c r="E138" s="33">
        <v>-321.28091999999998</v>
      </c>
      <c r="F138" s="33">
        <v>154.5</v>
      </c>
      <c r="G138" s="33">
        <v>321.2809244</v>
      </c>
      <c r="H138" s="34">
        <v>1E+100</v>
      </c>
    </row>
    <row r="139" spans="2:8" x14ac:dyDescent="0.2">
      <c r="B139" s="32" t="s">
        <v>367</v>
      </c>
      <c r="C139" s="33" t="s">
        <v>423</v>
      </c>
      <c r="D139" s="33">
        <v>0</v>
      </c>
      <c r="E139" s="33">
        <v>-190.02063000000001</v>
      </c>
      <c r="F139" s="33">
        <v>253.5</v>
      </c>
      <c r="G139" s="33">
        <v>190.02062599999999</v>
      </c>
      <c r="H139" s="34">
        <v>1E+100</v>
      </c>
    </row>
    <row r="140" spans="2:8" x14ac:dyDescent="0.2">
      <c r="B140" s="32" t="s">
        <v>368</v>
      </c>
      <c r="C140" s="33" t="s">
        <v>424</v>
      </c>
      <c r="D140" s="33">
        <v>0</v>
      </c>
      <c r="E140" s="33">
        <v>-47.947271000000001</v>
      </c>
      <c r="F140" s="33">
        <v>474.5</v>
      </c>
      <c r="G140" s="33">
        <v>47.947271270000002</v>
      </c>
      <c r="H140" s="34">
        <v>1E+100</v>
      </c>
    </row>
    <row r="141" spans="2:8" x14ac:dyDescent="0.2">
      <c r="B141" s="32" t="s">
        <v>369</v>
      </c>
      <c r="C141" s="33" t="s">
        <v>425</v>
      </c>
      <c r="D141" s="33">
        <v>0</v>
      </c>
      <c r="E141" s="33">
        <v>-56.104334000000001</v>
      </c>
      <c r="F141" s="33">
        <v>474</v>
      </c>
      <c r="G141" s="33">
        <v>56.104333869999998</v>
      </c>
      <c r="H141" s="34">
        <v>1E+100</v>
      </c>
    </row>
    <row r="142" spans="2:8" x14ac:dyDescent="0.2">
      <c r="B142" s="32" t="s">
        <v>370</v>
      </c>
      <c r="C142" s="33" t="s">
        <v>426</v>
      </c>
      <c r="D142" s="33">
        <v>0</v>
      </c>
      <c r="E142" s="33">
        <v>-30.015408999999998</v>
      </c>
      <c r="F142" s="33">
        <v>387</v>
      </c>
      <c r="G142" s="33">
        <v>30.015409309999999</v>
      </c>
      <c r="H142" s="34">
        <v>1E+100</v>
      </c>
    </row>
    <row r="143" spans="2:8" x14ac:dyDescent="0.2">
      <c r="B143" s="32" t="s">
        <v>371</v>
      </c>
      <c r="C143" s="33" t="s">
        <v>427</v>
      </c>
      <c r="D143" s="33">
        <v>0</v>
      </c>
      <c r="E143" s="33">
        <v>-132.61758</v>
      </c>
      <c r="F143" s="33">
        <v>182.5</v>
      </c>
      <c r="G143" s="33">
        <v>132.6175762</v>
      </c>
      <c r="H143" s="34">
        <v>1E+100</v>
      </c>
    </row>
    <row r="144" spans="2:8" x14ac:dyDescent="0.2">
      <c r="B144" s="32" t="s">
        <v>372</v>
      </c>
      <c r="C144" s="33" t="s">
        <v>428</v>
      </c>
      <c r="D144" s="33">
        <v>0</v>
      </c>
      <c r="E144" s="33">
        <v>-406.99382000000003</v>
      </c>
      <c r="F144" s="33">
        <v>916.5</v>
      </c>
      <c r="G144" s="33">
        <v>406.99382020000002</v>
      </c>
      <c r="H144" s="34">
        <v>1E+100</v>
      </c>
    </row>
    <row r="145" spans="2:8" x14ac:dyDescent="0.2">
      <c r="B145" s="32" t="s">
        <v>373</v>
      </c>
      <c r="C145" s="33" t="s">
        <v>429</v>
      </c>
      <c r="D145" s="33">
        <v>0</v>
      </c>
      <c r="E145" s="33">
        <v>-401.70602000000002</v>
      </c>
      <c r="F145" s="33">
        <v>701.5</v>
      </c>
      <c r="G145" s="33">
        <v>401.70601929999998</v>
      </c>
      <c r="H145" s="34">
        <v>1E+100</v>
      </c>
    </row>
    <row r="146" spans="2:8" x14ac:dyDescent="0.2">
      <c r="B146" s="32" t="s">
        <v>374</v>
      </c>
      <c r="C146" s="33" t="s">
        <v>430</v>
      </c>
      <c r="D146" s="33">
        <v>0</v>
      </c>
      <c r="E146" s="33">
        <v>-152.40795</v>
      </c>
      <c r="F146" s="33">
        <v>452.5</v>
      </c>
      <c r="G146" s="33">
        <v>152.40794539999999</v>
      </c>
      <c r="H146" s="34">
        <v>1E+100</v>
      </c>
    </row>
    <row r="147" spans="2:8" x14ac:dyDescent="0.2">
      <c r="B147" s="32" t="s">
        <v>375</v>
      </c>
      <c r="C147" s="33" t="s">
        <v>431</v>
      </c>
      <c r="D147" s="33">
        <v>1</v>
      </c>
      <c r="E147" s="33">
        <v>0</v>
      </c>
      <c r="F147" s="33">
        <v>807</v>
      </c>
      <c r="G147" s="33">
        <v>1E+100</v>
      </c>
      <c r="H147" s="34">
        <v>114.3303372</v>
      </c>
    </row>
    <row r="148" spans="2:8" x14ac:dyDescent="0.2">
      <c r="B148" s="32" t="s">
        <v>376</v>
      </c>
      <c r="C148" s="33" t="s">
        <v>432</v>
      </c>
      <c r="D148" s="33">
        <v>0</v>
      </c>
      <c r="E148" s="33">
        <v>-188.07857000000001</v>
      </c>
      <c r="F148" s="33">
        <v>566.5</v>
      </c>
      <c r="G148" s="33">
        <v>188.07857139999999</v>
      </c>
      <c r="H148" s="34">
        <v>1E+100</v>
      </c>
    </row>
    <row r="149" spans="2:8" x14ac:dyDescent="0.2">
      <c r="B149" s="32" t="s">
        <v>377</v>
      </c>
      <c r="C149" s="33" t="s">
        <v>433</v>
      </c>
      <c r="D149" s="33">
        <v>0</v>
      </c>
      <c r="E149" s="33">
        <v>-207.79069000000001</v>
      </c>
      <c r="F149" s="33">
        <v>439</v>
      </c>
      <c r="G149" s="33">
        <v>207.7906902</v>
      </c>
      <c r="H149" s="34">
        <v>1E+100</v>
      </c>
    </row>
    <row r="150" spans="2:8" x14ac:dyDescent="0.2">
      <c r="B150" s="32" t="s">
        <v>378</v>
      </c>
      <c r="C150" s="33" t="s">
        <v>434</v>
      </c>
      <c r="D150" s="33">
        <v>0</v>
      </c>
      <c r="E150" s="33">
        <v>-269.39999999999998</v>
      </c>
      <c r="F150" s="33">
        <v>464.5</v>
      </c>
      <c r="G150" s="33">
        <v>269.39999999999998</v>
      </c>
      <c r="H150" s="34">
        <v>1E+100</v>
      </c>
    </row>
    <row r="151" spans="2:8" x14ac:dyDescent="0.2">
      <c r="B151" s="32" t="s">
        <v>379</v>
      </c>
      <c r="C151" s="33" t="s">
        <v>435</v>
      </c>
      <c r="D151" s="33">
        <v>0</v>
      </c>
      <c r="E151" s="33">
        <v>-428.94173000000001</v>
      </c>
      <c r="F151" s="33">
        <v>517</v>
      </c>
      <c r="G151" s="33">
        <v>428.9417335</v>
      </c>
      <c r="H151" s="34">
        <v>1E+100</v>
      </c>
    </row>
    <row r="152" spans="2:8" x14ac:dyDescent="0.2">
      <c r="B152" s="32" t="s">
        <v>380</v>
      </c>
      <c r="C152" s="33" t="s">
        <v>436</v>
      </c>
      <c r="D152" s="33">
        <v>0</v>
      </c>
      <c r="E152" s="33">
        <v>-64.821669</v>
      </c>
      <c r="F152" s="33">
        <v>384</v>
      </c>
      <c r="G152" s="33">
        <v>64.82166934</v>
      </c>
      <c r="H152" s="34">
        <v>1E+100</v>
      </c>
    </row>
    <row r="153" spans="2:8" x14ac:dyDescent="0.2">
      <c r="B153" s="32" t="s">
        <v>381</v>
      </c>
      <c r="C153" s="33" t="s">
        <v>437</v>
      </c>
      <c r="D153" s="33">
        <v>0</v>
      </c>
      <c r="E153" s="33">
        <v>-255.40257</v>
      </c>
      <c r="F153" s="33">
        <v>548</v>
      </c>
      <c r="G153" s="33">
        <v>255.40256819999999</v>
      </c>
      <c r="H153" s="34">
        <v>1E+100</v>
      </c>
    </row>
    <row r="154" spans="2:8" x14ac:dyDescent="0.2">
      <c r="B154" s="32" t="s">
        <v>382</v>
      </c>
      <c r="C154" s="33" t="s">
        <v>438</v>
      </c>
      <c r="D154" s="33">
        <v>0</v>
      </c>
      <c r="E154" s="33">
        <v>-142.49180999999999</v>
      </c>
      <c r="F154" s="33">
        <v>324</v>
      </c>
      <c r="G154" s="33">
        <v>142.49181379999999</v>
      </c>
      <c r="H154" s="34">
        <v>1E+100</v>
      </c>
    </row>
    <row r="155" spans="2:8" x14ac:dyDescent="0.2">
      <c r="B155" s="32" t="s">
        <v>383</v>
      </c>
      <c r="C155" s="33" t="s">
        <v>439</v>
      </c>
      <c r="D155" s="33">
        <v>0</v>
      </c>
      <c r="E155" s="33">
        <v>-95.978812000000005</v>
      </c>
      <c r="F155" s="33">
        <v>248</v>
      </c>
      <c r="G155" s="33">
        <v>95.978812199999993</v>
      </c>
      <c r="H155" s="34">
        <v>1E+100</v>
      </c>
    </row>
    <row r="156" spans="2:8" x14ac:dyDescent="0.2">
      <c r="B156" s="32" t="s">
        <v>384</v>
      </c>
      <c r="C156" s="33" t="s">
        <v>440</v>
      </c>
      <c r="D156" s="33">
        <v>0</v>
      </c>
      <c r="E156" s="33">
        <v>-138.44543999999999</v>
      </c>
      <c r="F156" s="33">
        <v>292.5</v>
      </c>
      <c r="G156" s="33">
        <v>138.44543999999999</v>
      </c>
      <c r="H156" s="34">
        <v>1E+100</v>
      </c>
    </row>
    <row r="157" spans="2:8" x14ac:dyDescent="0.2">
      <c r="B157" s="32" t="s">
        <v>385</v>
      </c>
      <c r="C157" s="33" t="s">
        <v>441</v>
      </c>
      <c r="D157" s="33">
        <v>0</v>
      </c>
      <c r="E157" s="33">
        <v>-160.23956000000001</v>
      </c>
      <c r="F157" s="33">
        <v>211.5</v>
      </c>
      <c r="G157" s="33">
        <v>160.23956369999999</v>
      </c>
      <c r="H157" s="34">
        <v>1E+100</v>
      </c>
    </row>
    <row r="158" spans="2:8" x14ac:dyDescent="0.2">
      <c r="B158" s="32" t="s">
        <v>386</v>
      </c>
      <c r="C158" s="33" t="s">
        <v>442</v>
      </c>
      <c r="D158" s="33">
        <v>0.56340288999999999</v>
      </c>
      <c r="E158" s="33">
        <v>0</v>
      </c>
      <c r="F158" s="33">
        <v>311.5</v>
      </c>
      <c r="G158" s="33">
        <v>77.752107210000005</v>
      </c>
      <c r="H158" s="34">
        <v>147.43847719999999</v>
      </c>
    </row>
    <row r="159" spans="2:8" x14ac:dyDescent="0.2">
      <c r="B159" s="32" t="s">
        <v>387</v>
      </c>
      <c r="C159" s="33" t="s">
        <v>443</v>
      </c>
      <c r="D159" s="33">
        <v>0</v>
      </c>
      <c r="E159" s="33">
        <v>-37.577202</v>
      </c>
      <c r="F159" s="33">
        <v>240.5</v>
      </c>
      <c r="G159" s="33">
        <v>37.577201950000003</v>
      </c>
      <c r="H159" s="34">
        <v>1E+100</v>
      </c>
    </row>
    <row r="160" spans="2:8" x14ac:dyDescent="0.2">
      <c r="B160" s="32" t="s">
        <v>389</v>
      </c>
      <c r="C160" s="33" t="s">
        <v>444</v>
      </c>
      <c r="D160" s="33">
        <v>0</v>
      </c>
      <c r="E160" s="33">
        <v>-46.304589</v>
      </c>
      <c r="F160" s="33">
        <v>317</v>
      </c>
      <c r="G160" s="33">
        <v>46.30458909</v>
      </c>
      <c r="H160" s="34">
        <v>1E+100</v>
      </c>
    </row>
    <row r="161" spans="2:8" x14ac:dyDescent="0.2">
      <c r="B161" s="32" t="s">
        <v>391</v>
      </c>
      <c r="C161" s="33" t="s">
        <v>445</v>
      </c>
      <c r="D161" s="33">
        <v>0.97229916999999999</v>
      </c>
      <c r="E161" s="33">
        <v>0</v>
      </c>
      <c r="F161" s="33">
        <v>180.5</v>
      </c>
      <c r="G161" s="33">
        <v>111.62740580000001</v>
      </c>
      <c r="H161" s="34">
        <v>26.365862280000002</v>
      </c>
    </row>
    <row r="162" spans="2:8" x14ac:dyDescent="0.2">
      <c r="B162" s="32" t="s">
        <v>393</v>
      </c>
      <c r="C162" s="33" t="s">
        <v>446</v>
      </c>
      <c r="D162" s="33">
        <v>0.51769911999999996</v>
      </c>
      <c r="E162" s="33">
        <v>0</v>
      </c>
      <c r="F162" s="33">
        <v>339</v>
      </c>
      <c r="G162" s="33">
        <v>186.85917409999999</v>
      </c>
      <c r="H162" s="34">
        <v>69.798848379999995</v>
      </c>
    </row>
    <row r="163" spans="2:8" x14ac:dyDescent="0.2">
      <c r="B163" s="32" t="s">
        <v>394</v>
      </c>
      <c r="C163" s="33" t="s">
        <v>447</v>
      </c>
      <c r="D163" s="33">
        <v>0</v>
      </c>
      <c r="E163" s="33">
        <v>-51.165232000000003</v>
      </c>
      <c r="F163" s="33">
        <v>248.5</v>
      </c>
      <c r="G163" s="33">
        <v>51.165232459999999</v>
      </c>
      <c r="H163" s="34">
        <v>1E+100</v>
      </c>
    </row>
    <row r="164" spans="2:8" x14ac:dyDescent="0.2">
      <c r="B164" s="32" t="s">
        <v>396</v>
      </c>
      <c r="C164" s="33" t="s">
        <v>448</v>
      </c>
      <c r="D164" s="33">
        <v>0</v>
      </c>
      <c r="E164" s="33">
        <v>-130.38377</v>
      </c>
      <c r="F164" s="33">
        <v>164.5</v>
      </c>
      <c r="G164" s="33">
        <v>130.38377389999999</v>
      </c>
      <c r="H164" s="34">
        <v>1E+100</v>
      </c>
    </row>
    <row r="165" spans="2:8" x14ac:dyDescent="0.2">
      <c r="B165" s="32" t="s">
        <v>398</v>
      </c>
      <c r="C165" s="33" t="s">
        <v>449</v>
      </c>
      <c r="D165" s="33">
        <v>0</v>
      </c>
      <c r="E165" s="33">
        <v>-221.13562999999999</v>
      </c>
      <c r="F165" s="33">
        <v>468</v>
      </c>
      <c r="G165" s="33">
        <v>221.13563400000001</v>
      </c>
      <c r="H165" s="34">
        <v>1E+100</v>
      </c>
    </row>
    <row r="166" spans="2:8" x14ac:dyDescent="0.2">
      <c r="B166" s="32" t="s">
        <v>400</v>
      </c>
      <c r="C166" s="33" t="s">
        <v>450</v>
      </c>
      <c r="D166" s="33">
        <v>0</v>
      </c>
      <c r="E166" s="33">
        <v>-92.010193000000001</v>
      </c>
      <c r="F166" s="33">
        <v>298.5</v>
      </c>
      <c r="G166" s="33">
        <v>92.010192619999998</v>
      </c>
      <c r="H166" s="34">
        <v>1E+100</v>
      </c>
    </row>
    <row r="167" spans="2:8" x14ac:dyDescent="0.2">
      <c r="B167" s="32" t="s">
        <v>401</v>
      </c>
      <c r="C167" s="33" t="s">
        <v>451</v>
      </c>
      <c r="D167" s="33">
        <v>0</v>
      </c>
      <c r="E167" s="33">
        <v>-243.01541</v>
      </c>
      <c r="F167" s="33">
        <v>174</v>
      </c>
      <c r="G167" s="33">
        <v>243.01540929999999</v>
      </c>
      <c r="H167" s="34">
        <v>1E+100</v>
      </c>
    </row>
    <row r="168" spans="2:8" x14ac:dyDescent="0.2">
      <c r="B168" s="32" t="s">
        <v>403</v>
      </c>
      <c r="C168" s="33" t="s">
        <v>452</v>
      </c>
      <c r="D168" s="33">
        <v>0</v>
      </c>
      <c r="E168" s="33">
        <v>-96.808507000000006</v>
      </c>
      <c r="F168" s="33">
        <v>454.5</v>
      </c>
      <c r="G168" s="33">
        <v>96.808507219999996</v>
      </c>
      <c r="H168" s="34">
        <v>1E+100</v>
      </c>
    </row>
    <row r="169" spans="2:8" x14ac:dyDescent="0.2">
      <c r="B169" s="32" t="s">
        <v>405</v>
      </c>
      <c r="C169" s="33" t="s">
        <v>453</v>
      </c>
      <c r="D169" s="33">
        <v>0</v>
      </c>
      <c r="E169" s="33">
        <v>-59.533867999999998</v>
      </c>
      <c r="F169" s="33">
        <v>169</v>
      </c>
      <c r="G169" s="33">
        <v>59.533868380000001</v>
      </c>
      <c r="H169" s="34">
        <v>1E+100</v>
      </c>
    </row>
    <row r="170" spans="2:8" x14ac:dyDescent="0.2">
      <c r="B170" s="32" t="s">
        <v>407</v>
      </c>
      <c r="C170" s="33" t="s">
        <v>454</v>
      </c>
      <c r="D170" s="33">
        <v>0</v>
      </c>
      <c r="E170" s="33">
        <v>-379.18290999999999</v>
      </c>
      <c r="F170" s="33">
        <v>98.5</v>
      </c>
      <c r="G170" s="33">
        <v>379.18290530000002</v>
      </c>
      <c r="H170" s="34">
        <v>1E+100</v>
      </c>
    </row>
    <row r="171" spans="2:8" x14ac:dyDescent="0.2">
      <c r="B171" s="32" t="s">
        <v>408</v>
      </c>
      <c r="C171" s="33" t="s">
        <v>455</v>
      </c>
      <c r="D171" s="33">
        <v>0</v>
      </c>
      <c r="E171" s="33">
        <v>-141.50754000000001</v>
      </c>
      <c r="F171" s="33">
        <v>292</v>
      </c>
      <c r="G171" s="33">
        <v>141.50754409999999</v>
      </c>
      <c r="H171" s="34">
        <v>1E+100</v>
      </c>
    </row>
    <row r="172" spans="2:8" x14ac:dyDescent="0.2">
      <c r="B172" s="32" t="s">
        <v>410</v>
      </c>
      <c r="C172" s="33" t="s">
        <v>456</v>
      </c>
      <c r="D172" s="33">
        <v>0</v>
      </c>
      <c r="E172" s="33">
        <v>-156.29807</v>
      </c>
      <c r="F172" s="33">
        <v>342</v>
      </c>
      <c r="G172" s="33">
        <v>156.2980738</v>
      </c>
      <c r="H172" s="34">
        <v>1E+100</v>
      </c>
    </row>
    <row r="173" spans="2:8" x14ac:dyDescent="0.2">
      <c r="B173" s="32" t="s">
        <v>412</v>
      </c>
      <c r="C173" s="33" t="s">
        <v>457</v>
      </c>
      <c r="D173" s="33">
        <v>0</v>
      </c>
      <c r="E173" s="33">
        <v>-100.72223</v>
      </c>
      <c r="F173" s="33">
        <v>294.5</v>
      </c>
      <c r="G173" s="33">
        <v>100.7222311</v>
      </c>
      <c r="H173" s="34">
        <v>1E+100</v>
      </c>
    </row>
    <row r="174" spans="2:8" x14ac:dyDescent="0.2">
      <c r="B174" s="32" t="s">
        <v>414</v>
      </c>
      <c r="C174" s="33" t="s">
        <v>458</v>
      </c>
      <c r="D174" s="33">
        <v>0</v>
      </c>
      <c r="E174" s="33">
        <v>-67.848699999999994</v>
      </c>
      <c r="F174" s="33">
        <v>231</v>
      </c>
      <c r="G174" s="33">
        <v>67.848699589999995</v>
      </c>
      <c r="H174" s="34">
        <v>1E+100</v>
      </c>
    </row>
    <row r="175" spans="2:8" x14ac:dyDescent="0.2">
      <c r="B175" s="32" t="s">
        <v>415</v>
      </c>
      <c r="C175" s="33" t="s">
        <v>459</v>
      </c>
      <c r="D175" s="33">
        <v>0</v>
      </c>
      <c r="E175" s="33">
        <v>-184.80721</v>
      </c>
      <c r="F175" s="33">
        <v>205.5</v>
      </c>
      <c r="G175" s="33">
        <v>184.80721120000001</v>
      </c>
      <c r="H175" s="34">
        <v>1E+100</v>
      </c>
    </row>
    <row r="176" spans="2:8" ht="17" thickBot="1" x14ac:dyDescent="0.25">
      <c r="B176" s="35" t="s">
        <v>417</v>
      </c>
      <c r="C176" s="36" t="s">
        <v>460</v>
      </c>
      <c r="D176" s="36">
        <v>0</v>
      </c>
      <c r="E176" s="36">
        <v>-84.199887000000004</v>
      </c>
      <c r="F176" s="36">
        <v>89</v>
      </c>
      <c r="G176" s="36">
        <v>84.199887059999995</v>
      </c>
      <c r="H176" s="37">
        <v>1E+100</v>
      </c>
    </row>
    <row r="177" spans="1:8" x14ac:dyDescent="0.2">
      <c r="B177" s="31"/>
      <c r="C177" s="31"/>
      <c r="D177" s="31"/>
      <c r="E177" s="31"/>
      <c r="F177" s="31"/>
      <c r="G177" s="31"/>
      <c r="H177" s="31"/>
    </row>
    <row r="178" spans="1:8" ht="17" thickBot="1" x14ac:dyDescent="0.25">
      <c r="A178" s="41" t="s">
        <v>461</v>
      </c>
      <c r="B178" s="31"/>
      <c r="C178" s="31"/>
      <c r="D178" s="31"/>
      <c r="E178" s="31"/>
      <c r="F178" s="31"/>
      <c r="G178" s="31"/>
      <c r="H178" s="31"/>
    </row>
    <row r="179" spans="1:8" ht="17" thickBot="1" x14ac:dyDescent="0.25">
      <c r="B179" s="38" t="s">
        <v>204</v>
      </c>
      <c r="C179" s="39" t="s">
        <v>205</v>
      </c>
      <c r="D179" s="39" t="s">
        <v>206</v>
      </c>
      <c r="E179" s="39" t="s">
        <v>462</v>
      </c>
      <c r="F179" s="39" t="s">
        <v>463</v>
      </c>
      <c r="G179" s="39" t="s">
        <v>209</v>
      </c>
      <c r="H179" s="40" t="s">
        <v>210</v>
      </c>
    </row>
    <row r="180" spans="1:8" x14ac:dyDescent="0.2">
      <c r="B180" s="32" t="s">
        <v>589</v>
      </c>
      <c r="C180" s="33" t="s">
        <v>503</v>
      </c>
      <c r="D180" s="33">
        <v>1</v>
      </c>
      <c r="E180" s="33">
        <v>820.34840999999994</v>
      </c>
      <c r="F180" s="33">
        <v>1</v>
      </c>
      <c r="G180" s="33">
        <v>7.7064673139999998E-2</v>
      </c>
      <c r="H180" s="34">
        <v>0.3675651519</v>
      </c>
    </row>
    <row r="181" spans="1:8" x14ac:dyDescent="0.2">
      <c r="B181" s="32" t="s">
        <v>590</v>
      </c>
      <c r="C181" s="33" t="s">
        <v>504</v>
      </c>
      <c r="D181" s="33">
        <v>1</v>
      </c>
      <c r="E181" s="33">
        <v>2613.8555999999999</v>
      </c>
      <c r="F181" s="33">
        <v>1</v>
      </c>
      <c r="G181" s="33">
        <v>2.717774928E-2</v>
      </c>
      <c r="H181" s="34">
        <v>0.12962610669999999</v>
      </c>
    </row>
    <row r="182" spans="1:8" x14ac:dyDescent="0.2">
      <c r="B182" s="32" t="s">
        <v>591</v>
      </c>
      <c r="C182" s="33" t="s">
        <v>505</v>
      </c>
      <c r="D182" s="33">
        <v>1</v>
      </c>
      <c r="E182" s="33">
        <v>78.082989999999995</v>
      </c>
      <c r="F182" s="33">
        <v>1</v>
      </c>
      <c r="G182" s="33">
        <v>0.80499597099999998</v>
      </c>
      <c r="H182" s="34">
        <v>0.12755598830000001</v>
      </c>
    </row>
    <row r="183" spans="1:8" x14ac:dyDescent="0.2">
      <c r="B183" s="32" t="s">
        <v>592</v>
      </c>
      <c r="C183" s="33" t="s">
        <v>506</v>
      </c>
      <c r="D183" s="33">
        <v>1</v>
      </c>
      <c r="E183" s="33">
        <v>515.05174</v>
      </c>
      <c r="F183" s="33">
        <v>1</v>
      </c>
      <c r="G183" s="33">
        <v>0.12873711339999999</v>
      </c>
      <c r="H183" s="34">
        <v>4.2203608250000003E-2</v>
      </c>
    </row>
    <row r="184" spans="1:8" x14ac:dyDescent="0.2">
      <c r="B184" s="32" t="s">
        <v>593</v>
      </c>
      <c r="C184" s="33" t="s">
        <v>507</v>
      </c>
      <c r="D184" s="33">
        <v>1</v>
      </c>
      <c r="E184" s="33">
        <v>78.082989999999995</v>
      </c>
      <c r="F184" s="33">
        <v>1</v>
      </c>
      <c r="G184" s="33">
        <v>0.80499597099999998</v>
      </c>
      <c r="H184" s="34">
        <v>0.12755598830000001</v>
      </c>
    </row>
    <row r="185" spans="1:8" x14ac:dyDescent="0.2">
      <c r="B185" s="32" t="s">
        <v>594</v>
      </c>
      <c r="C185" s="33" t="s">
        <v>508</v>
      </c>
      <c r="D185" s="33">
        <v>1</v>
      </c>
      <c r="E185" s="33">
        <v>515.05174</v>
      </c>
      <c r="F185" s="33">
        <v>1</v>
      </c>
      <c r="G185" s="33">
        <v>0.12873711339999999</v>
      </c>
      <c r="H185" s="34">
        <v>4.2203608250000003E-2</v>
      </c>
    </row>
    <row r="186" spans="1:8" x14ac:dyDescent="0.2">
      <c r="B186" s="32" t="s">
        <v>595</v>
      </c>
      <c r="C186" s="33" t="s">
        <v>509</v>
      </c>
      <c r="D186" s="33">
        <v>1</v>
      </c>
      <c r="E186" s="33">
        <v>78.082989999999995</v>
      </c>
      <c r="F186" s="33">
        <v>1</v>
      </c>
      <c r="G186" s="33">
        <v>0.20668815469999999</v>
      </c>
      <c r="H186" s="34">
        <v>0.41674780919999999</v>
      </c>
    </row>
    <row r="187" spans="1:8" x14ac:dyDescent="0.2">
      <c r="B187" s="32" t="s">
        <v>596</v>
      </c>
      <c r="C187" s="33" t="s">
        <v>510</v>
      </c>
      <c r="D187" s="33">
        <v>1</v>
      </c>
      <c r="E187" s="33">
        <v>515.05174</v>
      </c>
      <c r="F187" s="33">
        <v>1</v>
      </c>
      <c r="G187" s="33">
        <v>3.3054123710000001E-2</v>
      </c>
      <c r="H187" s="34">
        <v>0.13788659789999999</v>
      </c>
    </row>
    <row r="188" spans="1:8" x14ac:dyDescent="0.2">
      <c r="B188" s="32" t="s">
        <v>597</v>
      </c>
      <c r="C188" s="33" t="s">
        <v>511</v>
      </c>
      <c r="D188" s="33">
        <v>1</v>
      </c>
      <c r="E188" s="33">
        <v>78.082989999999995</v>
      </c>
      <c r="F188" s="33">
        <v>1</v>
      </c>
      <c r="G188" s="33">
        <v>0.1361804996</v>
      </c>
      <c r="H188" s="34">
        <v>0.45082765339999997</v>
      </c>
    </row>
    <row r="189" spans="1:8" x14ac:dyDescent="0.2">
      <c r="B189" s="32" t="s">
        <v>598</v>
      </c>
      <c r="C189" s="33" t="s">
        <v>512</v>
      </c>
      <c r="D189" s="33">
        <v>1</v>
      </c>
      <c r="E189" s="33">
        <v>515.05174</v>
      </c>
      <c r="F189" s="33">
        <v>1</v>
      </c>
      <c r="G189" s="33">
        <v>2.177835052E-2</v>
      </c>
      <c r="H189" s="34">
        <v>0.1491623711</v>
      </c>
    </row>
    <row r="190" spans="1:8" x14ac:dyDescent="0.2">
      <c r="B190" s="32" t="s">
        <v>599</v>
      </c>
      <c r="C190" s="33" t="s">
        <v>513</v>
      </c>
      <c r="D190" s="33">
        <v>1</v>
      </c>
      <c r="E190" s="33">
        <v>78.082989999999995</v>
      </c>
      <c r="F190" s="33">
        <v>1</v>
      </c>
      <c r="G190" s="33">
        <v>0.80499597099999998</v>
      </c>
      <c r="H190" s="34">
        <v>0.12755598830000001</v>
      </c>
    </row>
    <row r="191" spans="1:8" x14ac:dyDescent="0.2">
      <c r="B191" s="32" t="s">
        <v>600</v>
      </c>
      <c r="C191" s="33" t="s">
        <v>514</v>
      </c>
      <c r="D191" s="33">
        <v>1</v>
      </c>
      <c r="E191" s="33">
        <v>515.05174</v>
      </c>
      <c r="F191" s="33">
        <v>1</v>
      </c>
      <c r="G191" s="33">
        <v>0.12873711339999999</v>
      </c>
      <c r="H191" s="34">
        <v>4.2203608250000003E-2</v>
      </c>
    </row>
    <row r="192" spans="1:8" x14ac:dyDescent="0.2">
      <c r="B192" s="32" t="s">
        <v>601</v>
      </c>
      <c r="C192" s="33" t="s">
        <v>515</v>
      </c>
      <c r="D192" s="33">
        <v>1</v>
      </c>
      <c r="E192" s="33">
        <v>122.33427</v>
      </c>
      <c r="F192" s="33">
        <v>1</v>
      </c>
      <c r="G192" s="33">
        <v>0.1182003709</v>
      </c>
      <c r="H192" s="34">
        <v>0.56376463470000004</v>
      </c>
    </row>
    <row r="193" spans="2:8" x14ac:dyDescent="0.2">
      <c r="B193" s="32" t="s">
        <v>602</v>
      </c>
      <c r="C193" s="33" t="s">
        <v>516</v>
      </c>
      <c r="D193" s="33">
        <v>1</v>
      </c>
      <c r="E193" s="33">
        <v>428.92054999999999</v>
      </c>
      <c r="F193" s="33">
        <v>1</v>
      </c>
      <c r="G193" s="33">
        <v>1.3696050770000001E-2</v>
      </c>
      <c r="H193" s="34">
        <v>6.5324237130000004E-2</v>
      </c>
    </row>
    <row r="194" spans="2:8" x14ac:dyDescent="0.2">
      <c r="B194" s="32" t="s">
        <v>603</v>
      </c>
      <c r="C194" s="33" t="s">
        <v>517</v>
      </c>
      <c r="D194" s="33">
        <v>0</v>
      </c>
      <c r="E194" s="33">
        <v>0</v>
      </c>
      <c r="F194" s="33">
        <v>1</v>
      </c>
      <c r="G194" s="33">
        <v>1E+100</v>
      </c>
      <c r="H194" s="34">
        <v>1</v>
      </c>
    </row>
    <row r="195" spans="2:8" x14ac:dyDescent="0.2">
      <c r="B195" s="32" t="s">
        <v>604</v>
      </c>
      <c r="C195" s="33" t="s">
        <v>518</v>
      </c>
      <c r="D195" s="33">
        <v>1</v>
      </c>
      <c r="E195" s="33">
        <v>428.92054999999999</v>
      </c>
      <c r="F195" s="33">
        <v>1</v>
      </c>
      <c r="G195" s="33">
        <v>1.3696050770000001E-2</v>
      </c>
      <c r="H195" s="34">
        <v>6.5324237130000004E-2</v>
      </c>
    </row>
    <row r="196" spans="2:8" x14ac:dyDescent="0.2">
      <c r="B196" s="32" t="s">
        <v>605</v>
      </c>
      <c r="C196" s="33" t="s">
        <v>519</v>
      </c>
      <c r="D196" s="33">
        <v>0</v>
      </c>
      <c r="E196" s="33">
        <v>0</v>
      </c>
      <c r="F196" s="33">
        <v>1</v>
      </c>
      <c r="G196" s="33">
        <v>1E+100</v>
      </c>
      <c r="H196" s="34">
        <v>1</v>
      </c>
    </row>
    <row r="197" spans="2:8" x14ac:dyDescent="0.2">
      <c r="B197" s="32" t="s">
        <v>606</v>
      </c>
      <c r="C197" s="33" t="s">
        <v>520</v>
      </c>
      <c r="D197" s="33">
        <v>1</v>
      </c>
      <c r="E197" s="33">
        <v>428.92054999999999</v>
      </c>
      <c r="F197" s="33">
        <v>1</v>
      </c>
      <c r="G197" s="33">
        <v>1.376019823</v>
      </c>
      <c r="H197" s="34">
        <v>6.5324237130000004E-2</v>
      </c>
    </row>
    <row r="198" spans="2:8" x14ac:dyDescent="0.2">
      <c r="B198" s="32" t="s">
        <v>607</v>
      </c>
      <c r="C198" s="33" t="s">
        <v>521</v>
      </c>
      <c r="D198" s="33">
        <v>0</v>
      </c>
      <c r="E198" s="33">
        <v>0</v>
      </c>
      <c r="F198" s="33">
        <v>1</v>
      </c>
      <c r="G198" s="33">
        <v>1E+100</v>
      </c>
      <c r="H198" s="34">
        <v>1</v>
      </c>
    </row>
    <row r="199" spans="2:8" x14ac:dyDescent="0.2">
      <c r="B199" s="32" t="s">
        <v>608</v>
      </c>
      <c r="C199" s="33" t="s">
        <v>522</v>
      </c>
      <c r="D199" s="33">
        <v>1</v>
      </c>
      <c r="E199" s="33">
        <v>428.92054999999999</v>
      </c>
      <c r="F199" s="33">
        <v>1</v>
      </c>
      <c r="G199" s="33">
        <v>1.3696050770000001E-2</v>
      </c>
      <c r="H199" s="34">
        <v>6.5324237130000004E-2</v>
      </c>
    </row>
    <row r="200" spans="2:8" x14ac:dyDescent="0.2">
      <c r="B200" s="32" t="s">
        <v>609</v>
      </c>
      <c r="C200" s="33" t="s">
        <v>523</v>
      </c>
      <c r="D200" s="33">
        <v>0</v>
      </c>
      <c r="E200" s="33">
        <v>0</v>
      </c>
      <c r="F200" s="33">
        <v>1</v>
      </c>
      <c r="G200" s="33">
        <v>1E+100</v>
      </c>
      <c r="H200" s="34">
        <v>1</v>
      </c>
    </row>
    <row r="201" spans="2:8" x14ac:dyDescent="0.2">
      <c r="B201" s="32" t="s">
        <v>610</v>
      </c>
      <c r="C201" s="33" t="s">
        <v>524</v>
      </c>
      <c r="D201" s="33">
        <v>1</v>
      </c>
      <c r="E201" s="33">
        <v>428.92054999999999</v>
      </c>
      <c r="F201" s="33">
        <v>1</v>
      </c>
      <c r="G201" s="33">
        <v>0.84902973120000003</v>
      </c>
      <c r="H201" s="34">
        <v>0.19315581900000001</v>
      </c>
    </row>
    <row r="202" spans="2:8" x14ac:dyDescent="0.2">
      <c r="B202" s="32" t="s">
        <v>611</v>
      </c>
      <c r="C202" s="33" t="s">
        <v>525</v>
      </c>
      <c r="D202" s="33">
        <v>0</v>
      </c>
      <c r="E202" s="33">
        <v>0</v>
      </c>
      <c r="F202" s="33">
        <v>1</v>
      </c>
      <c r="G202" s="33">
        <v>1E+100</v>
      </c>
      <c r="H202" s="34">
        <v>1</v>
      </c>
    </row>
    <row r="203" spans="2:8" x14ac:dyDescent="0.2">
      <c r="B203" s="32" t="s">
        <v>612</v>
      </c>
      <c r="C203" s="33" t="s">
        <v>526</v>
      </c>
      <c r="D203" s="33">
        <v>1</v>
      </c>
      <c r="E203" s="33">
        <v>428.92054999999999</v>
      </c>
      <c r="F203" s="33">
        <v>1</v>
      </c>
      <c r="G203" s="33">
        <v>1.3696050770000001E-2</v>
      </c>
      <c r="H203" s="34">
        <v>6.5324237130000004E-2</v>
      </c>
    </row>
    <row r="204" spans="2:8" x14ac:dyDescent="0.2">
      <c r="B204" s="32" t="s">
        <v>613</v>
      </c>
      <c r="C204" s="33" t="s">
        <v>527</v>
      </c>
      <c r="D204" s="33">
        <v>1</v>
      </c>
      <c r="E204" s="33">
        <v>352.93632000000002</v>
      </c>
      <c r="F204" s="33">
        <v>1</v>
      </c>
      <c r="G204" s="33">
        <v>0.15334207080000001</v>
      </c>
      <c r="H204" s="34">
        <v>0.118829183</v>
      </c>
    </row>
    <row r="205" spans="2:8" x14ac:dyDescent="0.2">
      <c r="B205" s="32" t="s">
        <v>614</v>
      </c>
      <c r="C205" s="33" t="s">
        <v>528</v>
      </c>
      <c r="D205" s="33">
        <v>1</v>
      </c>
      <c r="E205" s="33">
        <v>1714.7130999999999</v>
      </c>
      <c r="F205" s="33">
        <v>1</v>
      </c>
      <c r="G205" s="33">
        <v>3.7499999999999999E-2</v>
      </c>
      <c r="H205" s="34">
        <v>2.905982906E-2</v>
      </c>
    </row>
    <row r="206" spans="2:8" x14ac:dyDescent="0.2">
      <c r="B206" s="32" t="s">
        <v>615</v>
      </c>
      <c r="C206" s="33" t="s">
        <v>529</v>
      </c>
      <c r="D206" s="33">
        <v>1</v>
      </c>
      <c r="E206" s="33">
        <v>775.06098999999995</v>
      </c>
      <c r="F206" s="33">
        <v>1</v>
      </c>
      <c r="G206" s="33">
        <v>0.15334207080000001</v>
      </c>
      <c r="H206" s="34">
        <v>4.3687199650000001E-3</v>
      </c>
    </row>
    <row r="207" spans="2:8" x14ac:dyDescent="0.2">
      <c r="B207" s="32" t="s">
        <v>616</v>
      </c>
      <c r="C207" s="33" t="s">
        <v>530</v>
      </c>
      <c r="D207" s="33">
        <v>1</v>
      </c>
      <c r="E207" s="33">
        <v>3440.8323</v>
      </c>
      <c r="F207" s="33">
        <v>1</v>
      </c>
      <c r="G207" s="33">
        <v>3.7499999999999999E-2</v>
      </c>
      <c r="H207" s="34">
        <v>1.0683760679999999E-3</v>
      </c>
    </row>
    <row r="208" spans="2:8" x14ac:dyDescent="0.2">
      <c r="B208" s="32" t="s">
        <v>617</v>
      </c>
      <c r="C208" s="33" t="s">
        <v>531</v>
      </c>
      <c r="D208" s="33">
        <v>1</v>
      </c>
      <c r="E208" s="33">
        <v>698.11926000000005</v>
      </c>
      <c r="F208" s="33">
        <v>1</v>
      </c>
      <c r="G208" s="33">
        <v>0.15334207080000001</v>
      </c>
      <c r="H208" s="34">
        <v>0.1186738484</v>
      </c>
    </row>
    <row r="209" spans="2:8" x14ac:dyDescent="0.2">
      <c r="B209" s="32" t="s">
        <v>618</v>
      </c>
      <c r="C209" s="33" t="s">
        <v>532</v>
      </c>
      <c r="D209" s="33">
        <v>1</v>
      </c>
      <c r="E209" s="33">
        <v>3126.2082</v>
      </c>
      <c r="F209" s="33">
        <v>1</v>
      </c>
      <c r="G209" s="33">
        <v>3.7499999999999999E-2</v>
      </c>
      <c r="H209" s="34">
        <v>2.650127364E-2</v>
      </c>
    </row>
    <row r="210" spans="2:8" x14ac:dyDescent="0.2">
      <c r="B210" s="32" t="s">
        <v>619</v>
      </c>
      <c r="C210" s="33" t="s">
        <v>533</v>
      </c>
      <c r="D210" s="33">
        <v>1</v>
      </c>
      <c r="E210" s="33">
        <v>50.288283</v>
      </c>
      <c r="F210" s="33">
        <v>1</v>
      </c>
      <c r="G210" s="33">
        <v>0.18220005359999999</v>
      </c>
      <c r="H210" s="34">
        <v>0.84653465350000001</v>
      </c>
    </row>
    <row r="211" spans="2:8" x14ac:dyDescent="0.2">
      <c r="B211" s="32" t="s">
        <v>620</v>
      </c>
      <c r="C211" s="33" t="s">
        <v>534</v>
      </c>
      <c r="D211" s="33">
        <v>1</v>
      </c>
      <c r="E211" s="33">
        <v>537.22897</v>
      </c>
      <c r="F211" s="33">
        <v>1</v>
      </c>
      <c r="G211" s="33">
        <v>1.5384276650000001E-2</v>
      </c>
      <c r="H211" s="34">
        <v>7.2182355419999997E-2</v>
      </c>
    </row>
    <row r="212" spans="2:8" x14ac:dyDescent="0.2">
      <c r="B212" s="32" t="s">
        <v>621</v>
      </c>
      <c r="C212" s="33" t="s">
        <v>535</v>
      </c>
      <c r="D212" s="33">
        <v>1</v>
      </c>
      <c r="E212" s="33">
        <v>50.288283</v>
      </c>
      <c r="F212" s="33">
        <v>1</v>
      </c>
      <c r="G212" s="33">
        <v>0.18220005359999999</v>
      </c>
      <c r="H212" s="34">
        <v>0.86901543429999994</v>
      </c>
    </row>
    <row r="213" spans="2:8" x14ac:dyDescent="0.2">
      <c r="B213" s="32" t="s">
        <v>622</v>
      </c>
      <c r="C213" s="33" t="s">
        <v>536</v>
      </c>
      <c r="D213" s="33">
        <v>1</v>
      </c>
      <c r="E213" s="33">
        <v>537.22897</v>
      </c>
      <c r="F213" s="33">
        <v>1</v>
      </c>
      <c r="G213" s="33">
        <v>1.5384276650000001E-2</v>
      </c>
      <c r="H213" s="34">
        <v>7.2182355419999997E-2</v>
      </c>
    </row>
    <row r="214" spans="2:8" x14ac:dyDescent="0.2">
      <c r="B214" s="32" t="s">
        <v>623</v>
      </c>
      <c r="C214" s="33" t="s">
        <v>537</v>
      </c>
      <c r="D214" s="33">
        <v>1</v>
      </c>
      <c r="E214" s="33">
        <v>50.288283</v>
      </c>
      <c r="F214" s="33">
        <v>1</v>
      </c>
      <c r="G214" s="33">
        <v>0.18220005359999999</v>
      </c>
      <c r="H214" s="34">
        <v>0.84653465350000001</v>
      </c>
    </row>
    <row r="215" spans="2:8" x14ac:dyDescent="0.2">
      <c r="B215" s="32" t="s">
        <v>624</v>
      </c>
      <c r="C215" s="33" t="s">
        <v>538</v>
      </c>
      <c r="D215" s="33">
        <v>1</v>
      </c>
      <c r="E215" s="33">
        <v>537.22897</v>
      </c>
      <c r="F215" s="33">
        <v>1</v>
      </c>
      <c r="G215" s="33">
        <v>1.5384276650000001E-2</v>
      </c>
      <c r="H215" s="34">
        <v>7.2182355419999997E-2</v>
      </c>
    </row>
    <row r="216" spans="2:8" x14ac:dyDescent="0.2">
      <c r="B216" s="32" t="s">
        <v>625</v>
      </c>
      <c r="C216" s="33" t="s">
        <v>539</v>
      </c>
      <c r="D216" s="33">
        <v>1</v>
      </c>
      <c r="E216" s="33">
        <v>50.288283</v>
      </c>
      <c r="F216" s="33">
        <v>1</v>
      </c>
      <c r="G216" s="33">
        <v>0.18220005359999999</v>
      </c>
      <c r="H216" s="34">
        <v>0.84653465350000001</v>
      </c>
    </row>
    <row r="217" spans="2:8" x14ac:dyDescent="0.2">
      <c r="B217" s="32" t="s">
        <v>626</v>
      </c>
      <c r="C217" s="33" t="s">
        <v>540</v>
      </c>
      <c r="D217" s="33">
        <v>1</v>
      </c>
      <c r="E217" s="33">
        <v>848.63050999999996</v>
      </c>
      <c r="F217" s="33">
        <v>1</v>
      </c>
      <c r="G217" s="33">
        <v>1.308569016E-2</v>
      </c>
      <c r="H217" s="34">
        <v>6.3824398480000002E-2</v>
      </c>
    </row>
    <row r="218" spans="2:8" x14ac:dyDescent="0.2">
      <c r="B218" s="32" t="s">
        <v>550</v>
      </c>
      <c r="C218" s="33" t="s">
        <v>484</v>
      </c>
      <c r="D218" s="33">
        <v>0.17014270000000001</v>
      </c>
      <c r="E218" s="33">
        <v>0</v>
      </c>
      <c r="F218" s="33">
        <v>1</v>
      </c>
      <c r="G218" s="33">
        <v>1E+100</v>
      </c>
      <c r="H218" s="34">
        <v>0.8298572997</v>
      </c>
    </row>
    <row r="219" spans="2:8" x14ac:dyDescent="0.2">
      <c r="B219" s="32" t="s">
        <v>551</v>
      </c>
      <c r="C219" s="33" t="s">
        <v>485</v>
      </c>
      <c r="D219" s="33">
        <v>0</v>
      </c>
      <c r="E219" s="33">
        <v>0</v>
      </c>
      <c r="F219" s="33">
        <v>1</v>
      </c>
      <c r="G219" s="33">
        <v>1E+100</v>
      </c>
      <c r="H219" s="34">
        <v>1</v>
      </c>
    </row>
    <row r="220" spans="2:8" x14ac:dyDescent="0.2">
      <c r="B220" s="32" t="s">
        <v>552</v>
      </c>
      <c r="C220" s="33" t="s">
        <v>486</v>
      </c>
      <c r="D220" s="33">
        <v>0</v>
      </c>
      <c r="E220" s="33">
        <v>0</v>
      </c>
      <c r="F220" s="33">
        <v>1</v>
      </c>
      <c r="G220" s="33">
        <v>1E+100</v>
      </c>
      <c r="H220" s="34">
        <v>1</v>
      </c>
    </row>
    <row r="221" spans="2:8" x14ac:dyDescent="0.2">
      <c r="B221" s="32" t="s">
        <v>553</v>
      </c>
      <c r="C221" s="33" t="s">
        <v>487</v>
      </c>
      <c r="D221" s="33">
        <v>1</v>
      </c>
      <c r="E221" s="33">
        <v>7.3264828</v>
      </c>
      <c r="F221" s="33">
        <v>1</v>
      </c>
      <c r="G221" s="33">
        <v>0.34545454549999999</v>
      </c>
      <c r="H221" s="34">
        <v>1</v>
      </c>
    </row>
    <row r="222" spans="2:8" x14ac:dyDescent="0.2">
      <c r="B222" s="32" t="s">
        <v>554</v>
      </c>
      <c r="C222" s="33" t="s">
        <v>488</v>
      </c>
      <c r="D222" s="33">
        <v>1</v>
      </c>
      <c r="E222" s="33">
        <v>34.367865000000002</v>
      </c>
      <c r="F222" s="33">
        <v>1</v>
      </c>
      <c r="G222" s="33">
        <v>0.20361445780000001</v>
      </c>
      <c r="H222" s="34">
        <v>1</v>
      </c>
    </row>
    <row r="223" spans="2:8" x14ac:dyDescent="0.2">
      <c r="B223" s="32" t="s">
        <v>555</v>
      </c>
      <c r="C223" s="33" t="s">
        <v>489</v>
      </c>
      <c r="D223" s="33">
        <v>0</v>
      </c>
      <c r="E223" s="33">
        <v>0</v>
      </c>
      <c r="F223" s="33">
        <v>1</v>
      </c>
      <c r="G223" s="33">
        <v>1E+100</v>
      </c>
      <c r="H223" s="34">
        <v>1</v>
      </c>
    </row>
    <row r="224" spans="2:8" x14ac:dyDescent="0.2">
      <c r="B224" s="32" t="s">
        <v>556</v>
      </c>
      <c r="C224" s="33" t="s">
        <v>490</v>
      </c>
      <c r="D224" s="33">
        <v>0</v>
      </c>
      <c r="E224" s="33">
        <v>0</v>
      </c>
      <c r="F224" s="33">
        <v>1</v>
      </c>
      <c r="G224" s="33">
        <v>1E+100</v>
      </c>
      <c r="H224" s="34">
        <v>1</v>
      </c>
    </row>
    <row r="225" spans="2:8" x14ac:dyDescent="0.2">
      <c r="B225" s="32" t="s">
        <v>557</v>
      </c>
      <c r="C225" s="33" t="s">
        <v>491</v>
      </c>
      <c r="D225" s="33">
        <v>0</v>
      </c>
      <c r="E225" s="33">
        <v>0</v>
      </c>
      <c r="F225" s="33">
        <v>1</v>
      </c>
      <c r="G225" s="33">
        <v>1E+100</v>
      </c>
      <c r="H225" s="34">
        <v>1</v>
      </c>
    </row>
    <row r="226" spans="2:8" x14ac:dyDescent="0.2">
      <c r="B226" s="32" t="s">
        <v>558</v>
      </c>
      <c r="C226" s="33" t="s">
        <v>492</v>
      </c>
      <c r="D226" s="33">
        <v>0</v>
      </c>
      <c r="E226" s="33">
        <v>0</v>
      </c>
      <c r="F226" s="33">
        <v>1</v>
      </c>
      <c r="G226" s="33">
        <v>1E+100</v>
      </c>
      <c r="H226" s="34">
        <v>1</v>
      </c>
    </row>
    <row r="227" spans="2:8" x14ac:dyDescent="0.2">
      <c r="B227" s="32" t="s">
        <v>559</v>
      </c>
      <c r="C227" s="33" t="s">
        <v>493</v>
      </c>
      <c r="D227" s="33">
        <v>1</v>
      </c>
      <c r="E227" s="33">
        <v>114.33034000000001</v>
      </c>
      <c r="F227" s="33">
        <v>1</v>
      </c>
      <c r="G227" s="33">
        <v>2.9547707559999998</v>
      </c>
      <c r="H227" s="34">
        <v>0.72464143319999996</v>
      </c>
    </row>
    <row r="228" spans="2:8" x14ac:dyDescent="0.2">
      <c r="B228" s="32" t="s">
        <v>560</v>
      </c>
      <c r="C228" s="33" t="s">
        <v>494</v>
      </c>
      <c r="D228" s="33">
        <v>0</v>
      </c>
      <c r="E228" s="33">
        <v>0</v>
      </c>
      <c r="F228" s="33">
        <v>1</v>
      </c>
      <c r="G228" s="33">
        <v>1E+100</v>
      </c>
      <c r="H228" s="34">
        <v>1</v>
      </c>
    </row>
    <row r="229" spans="2:8" x14ac:dyDescent="0.2">
      <c r="B229" s="32" t="s">
        <v>561</v>
      </c>
      <c r="C229" s="33" t="s">
        <v>495</v>
      </c>
      <c r="D229" s="33">
        <v>0</v>
      </c>
      <c r="E229" s="33">
        <v>0</v>
      </c>
      <c r="F229" s="33">
        <v>1</v>
      </c>
      <c r="G229" s="33">
        <v>1E+100</v>
      </c>
      <c r="H229" s="34">
        <v>1</v>
      </c>
    </row>
    <row r="230" spans="2:8" x14ac:dyDescent="0.2">
      <c r="B230" s="32" t="s">
        <v>562</v>
      </c>
      <c r="C230" s="33" t="s">
        <v>496</v>
      </c>
      <c r="D230" s="33">
        <v>0.56340288999999999</v>
      </c>
      <c r="E230" s="33">
        <v>0</v>
      </c>
      <c r="F230" s="33">
        <v>1</v>
      </c>
      <c r="G230" s="33">
        <v>1E+100</v>
      </c>
      <c r="H230" s="34">
        <v>0.43659711080000002</v>
      </c>
    </row>
    <row r="231" spans="2:8" x14ac:dyDescent="0.2">
      <c r="B231" s="32" t="s">
        <v>563</v>
      </c>
      <c r="C231" s="33" t="s">
        <v>497</v>
      </c>
      <c r="D231" s="33">
        <v>0.97229916999999999</v>
      </c>
      <c r="E231" s="33">
        <v>0</v>
      </c>
      <c r="F231" s="33">
        <v>1</v>
      </c>
      <c r="G231" s="33">
        <v>1E+100</v>
      </c>
      <c r="H231" s="34">
        <v>2.770083102E-2</v>
      </c>
    </row>
    <row r="232" spans="2:8" x14ac:dyDescent="0.2">
      <c r="B232" s="32" t="s">
        <v>564</v>
      </c>
      <c r="C232" s="33" t="s">
        <v>498</v>
      </c>
      <c r="D232" s="33">
        <v>0.51769911999999996</v>
      </c>
      <c r="E232" s="33">
        <v>0</v>
      </c>
      <c r="F232" s="33">
        <v>1</v>
      </c>
      <c r="G232" s="33">
        <v>1E+100</v>
      </c>
      <c r="H232" s="34">
        <v>0.48230088500000001</v>
      </c>
    </row>
    <row r="233" spans="2:8" x14ac:dyDescent="0.2">
      <c r="B233" s="32" t="s">
        <v>565</v>
      </c>
      <c r="C233" s="33" t="s">
        <v>499</v>
      </c>
      <c r="D233" s="33">
        <v>0</v>
      </c>
      <c r="E233" s="33">
        <v>0</v>
      </c>
      <c r="F233" s="33">
        <v>1</v>
      </c>
      <c r="G233" s="33">
        <v>1E+100</v>
      </c>
      <c r="H233" s="34">
        <v>1</v>
      </c>
    </row>
    <row r="234" spans="2:8" x14ac:dyDescent="0.2">
      <c r="B234" s="32" t="s">
        <v>566</v>
      </c>
      <c r="C234" s="33" t="s">
        <v>500</v>
      </c>
      <c r="D234" s="33">
        <v>0</v>
      </c>
      <c r="E234" s="33">
        <v>0</v>
      </c>
      <c r="F234" s="33">
        <v>1</v>
      </c>
      <c r="G234" s="33">
        <v>1E+100</v>
      </c>
      <c r="H234" s="34">
        <v>1</v>
      </c>
    </row>
    <row r="235" spans="2:8" x14ac:dyDescent="0.2">
      <c r="B235" s="32" t="s">
        <v>567</v>
      </c>
      <c r="C235" s="33" t="s">
        <v>501</v>
      </c>
      <c r="D235" s="33">
        <v>0</v>
      </c>
      <c r="E235" s="33">
        <v>0</v>
      </c>
      <c r="F235" s="33">
        <v>1</v>
      </c>
      <c r="G235" s="33">
        <v>1E+100</v>
      </c>
      <c r="H235" s="34">
        <v>1</v>
      </c>
    </row>
    <row r="236" spans="2:8" x14ac:dyDescent="0.2">
      <c r="B236" s="32" t="s">
        <v>568</v>
      </c>
      <c r="C236" s="33" t="s">
        <v>502</v>
      </c>
      <c r="D236" s="33">
        <v>0</v>
      </c>
      <c r="E236" s="33">
        <v>0</v>
      </c>
      <c r="F236" s="33">
        <v>1</v>
      </c>
      <c r="G236" s="33">
        <v>1E+100</v>
      </c>
      <c r="H236" s="34">
        <v>1</v>
      </c>
    </row>
    <row r="237" spans="2:8" x14ac:dyDescent="0.2">
      <c r="B237" s="32" t="s">
        <v>570</v>
      </c>
      <c r="C237" s="33" t="s">
        <v>465</v>
      </c>
      <c r="D237" s="33">
        <v>15270.3</v>
      </c>
      <c r="E237" s="33">
        <v>0</v>
      </c>
      <c r="F237" s="33">
        <v>12000</v>
      </c>
      <c r="G237" s="33">
        <v>3270.3</v>
      </c>
      <c r="H237" s="34">
        <v>1E+100</v>
      </c>
    </row>
    <row r="238" spans="2:8" x14ac:dyDescent="0.2">
      <c r="B238" s="32" t="s">
        <v>571</v>
      </c>
      <c r="C238" s="33" t="s">
        <v>466</v>
      </c>
      <c r="D238" s="33">
        <v>12000</v>
      </c>
      <c r="E238" s="33">
        <v>-9.9676069000000003E-3</v>
      </c>
      <c r="F238" s="33">
        <v>12000</v>
      </c>
      <c r="G238" s="33">
        <v>162.4583566</v>
      </c>
      <c r="H238" s="34">
        <v>774.85607979999997</v>
      </c>
    </row>
    <row r="239" spans="2:8" x14ac:dyDescent="0.2">
      <c r="B239" s="32" t="s">
        <v>572</v>
      </c>
      <c r="C239" s="33" t="s">
        <v>467</v>
      </c>
      <c r="D239" s="33">
        <v>12000</v>
      </c>
      <c r="E239" s="33">
        <v>-9.9676069000000003E-3</v>
      </c>
      <c r="F239" s="33">
        <v>12000</v>
      </c>
      <c r="G239" s="33">
        <v>162.4583566</v>
      </c>
      <c r="H239" s="34">
        <v>774.85607979999997</v>
      </c>
    </row>
    <row r="240" spans="2:8" x14ac:dyDescent="0.2">
      <c r="B240" s="32" t="s">
        <v>573</v>
      </c>
      <c r="C240" s="33" t="s">
        <v>468</v>
      </c>
      <c r="D240" s="33">
        <v>12000</v>
      </c>
      <c r="E240" s="33">
        <v>-9.9676069000000003E-3</v>
      </c>
      <c r="F240" s="33">
        <v>12000</v>
      </c>
      <c r="G240" s="33">
        <v>162.4583566</v>
      </c>
      <c r="H240" s="34">
        <v>307.8</v>
      </c>
    </row>
    <row r="241" spans="2:8" x14ac:dyDescent="0.2">
      <c r="B241" s="32" t="s">
        <v>574</v>
      </c>
      <c r="C241" s="33" t="s">
        <v>469</v>
      </c>
      <c r="D241" s="33">
        <v>12000</v>
      </c>
      <c r="E241" s="33">
        <v>-9.9676069000000003E-3</v>
      </c>
      <c r="F241" s="33">
        <v>12000</v>
      </c>
      <c r="G241" s="33">
        <v>162.4583566</v>
      </c>
      <c r="H241" s="34">
        <v>202.8</v>
      </c>
    </row>
    <row r="242" spans="2:8" x14ac:dyDescent="0.2">
      <c r="B242" s="32" t="s">
        <v>575</v>
      </c>
      <c r="C242" s="33" t="s">
        <v>470</v>
      </c>
      <c r="D242" s="33">
        <v>12000</v>
      </c>
      <c r="E242" s="33">
        <v>-9.9676069000000003E-3</v>
      </c>
      <c r="F242" s="33">
        <v>12000</v>
      </c>
      <c r="G242" s="33">
        <v>162.4583566</v>
      </c>
      <c r="H242" s="34">
        <v>774.85607979999997</v>
      </c>
    </row>
    <row r="243" spans="2:8" x14ac:dyDescent="0.2">
      <c r="B243" s="32" t="s">
        <v>576</v>
      </c>
      <c r="C243" s="33" t="s">
        <v>471</v>
      </c>
      <c r="D243" s="33">
        <v>14602.5</v>
      </c>
      <c r="E243" s="33">
        <v>0</v>
      </c>
      <c r="F243" s="33">
        <v>12000</v>
      </c>
      <c r="G243" s="33">
        <v>2602.5</v>
      </c>
      <c r="H243" s="34">
        <v>1E+100</v>
      </c>
    </row>
    <row r="244" spans="2:8" x14ac:dyDescent="0.2">
      <c r="B244" s="32" t="s">
        <v>577</v>
      </c>
      <c r="C244" s="33" t="s">
        <v>472</v>
      </c>
      <c r="D244" s="33">
        <v>12956</v>
      </c>
      <c r="E244" s="33">
        <v>0</v>
      </c>
      <c r="F244" s="33">
        <v>12000</v>
      </c>
      <c r="G244" s="33">
        <v>956</v>
      </c>
      <c r="H244" s="34">
        <v>1E+100</v>
      </c>
    </row>
    <row r="245" spans="2:8" x14ac:dyDescent="0.2">
      <c r="B245" s="32" t="s">
        <v>578</v>
      </c>
      <c r="C245" s="33" t="s">
        <v>473</v>
      </c>
      <c r="D245" s="33">
        <v>12165.697</v>
      </c>
      <c r="E245" s="33">
        <v>0</v>
      </c>
      <c r="F245" s="33">
        <v>12000</v>
      </c>
      <c r="G245" s="33">
        <v>165.6969986</v>
      </c>
      <c r="H245" s="34">
        <v>1E+100</v>
      </c>
    </row>
    <row r="246" spans="2:8" x14ac:dyDescent="0.2">
      <c r="B246" s="32" t="s">
        <v>579</v>
      </c>
      <c r="C246" s="33" t="s">
        <v>474</v>
      </c>
      <c r="D246" s="33">
        <v>12000</v>
      </c>
      <c r="E246" s="33">
        <v>0</v>
      </c>
      <c r="F246" s="33">
        <v>12000</v>
      </c>
      <c r="G246" s="33">
        <v>165.6969986</v>
      </c>
      <c r="H246" s="34">
        <v>790.30300139999997</v>
      </c>
    </row>
    <row r="247" spans="2:8" x14ac:dyDescent="0.2">
      <c r="B247" s="32" t="s">
        <v>580</v>
      </c>
      <c r="C247" s="33" t="s">
        <v>475</v>
      </c>
      <c r="D247" s="33">
        <v>12956</v>
      </c>
      <c r="E247" s="33">
        <v>0</v>
      </c>
      <c r="F247" s="33">
        <v>12000</v>
      </c>
      <c r="G247" s="33">
        <v>956</v>
      </c>
      <c r="H247" s="34">
        <v>1E+100</v>
      </c>
    </row>
    <row r="248" spans="2:8" x14ac:dyDescent="0.2">
      <c r="B248" s="32" t="s">
        <v>581</v>
      </c>
      <c r="C248" s="33" t="s">
        <v>476</v>
      </c>
      <c r="D248" s="33">
        <v>12956</v>
      </c>
      <c r="E248" s="33">
        <v>0</v>
      </c>
      <c r="F248" s="33">
        <v>12000</v>
      </c>
      <c r="G248" s="33">
        <v>956</v>
      </c>
      <c r="H248" s="34">
        <v>1E+100</v>
      </c>
    </row>
    <row r="249" spans="2:8" x14ac:dyDescent="0.2">
      <c r="B249" s="32" t="s">
        <v>582</v>
      </c>
      <c r="C249" s="33" t="s">
        <v>477</v>
      </c>
      <c r="D249" s="33">
        <v>12000</v>
      </c>
      <c r="E249" s="33">
        <v>-0.13627647000000001</v>
      </c>
      <c r="F249" s="33">
        <v>12000</v>
      </c>
      <c r="G249" s="33">
        <v>130.20833429999999</v>
      </c>
      <c r="H249" s="34">
        <v>351</v>
      </c>
    </row>
    <row r="250" spans="2:8" x14ac:dyDescent="0.2">
      <c r="B250" s="32" t="s">
        <v>583</v>
      </c>
      <c r="C250" s="33" t="s">
        <v>478</v>
      </c>
      <c r="D250" s="33">
        <v>12000</v>
      </c>
      <c r="E250" s="33">
        <v>-0.32069091999999999</v>
      </c>
      <c r="F250" s="33">
        <v>12000</v>
      </c>
      <c r="G250" s="33">
        <v>10</v>
      </c>
      <c r="H250" s="34">
        <v>351</v>
      </c>
    </row>
    <row r="251" spans="2:8" x14ac:dyDescent="0.2">
      <c r="B251" s="32" t="s">
        <v>584</v>
      </c>
      <c r="C251" s="33" t="s">
        <v>479</v>
      </c>
      <c r="D251" s="33">
        <v>12000</v>
      </c>
      <c r="E251" s="33">
        <v>-0.28707723000000002</v>
      </c>
      <c r="F251" s="33">
        <v>12000</v>
      </c>
      <c r="G251" s="33">
        <v>105.2609528</v>
      </c>
      <c r="H251" s="34">
        <v>351</v>
      </c>
    </row>
    <row r="252" spans="2:8" x14ac:dyDescent="0.2">
      <c r="B252" s="32" t="s">
        <v>585</v>
      </c>
      <c r="C252" s="33" t="s">
        <v>480</v>
      </c>
      <c r="D252" s="33">
        <v>12855</v>
      </c>
      <c r="E252" s="33">
        <v>0</v>
      </c>
      <c r="F252" s="33">
        <v>12000</v>
      </c>
      <c r="G252" s="33">
        <v>855</v>
      </c>
      <c r="H252" s="34">
        <v>1E+100</v>
      </c>
    </row>
    <row r="253" spans="2:8" x14ac:dyDescent="0.2">
      <c r="B253" s="32" t="s">
        <v>586</v>
      </c>
      <c r="C253" s="33" t="s">
        <v>481</v>
      </c>
      <c r="D253" s="33">
        <v>12855</v>
      </c>
      <c r="E253" s="33">
        <v>0</v>
      </c>
      <c r="F253" s="33">
        <v>12000</v>
      </c>
      <c r="G253" s="33">
        <v>855</v>
      </c>
      <c r="H253" s="34">
        <v>1E+100</v>
      </c>
    </row>
    <row r="254" spans="2:8" x14ac:dyDescent="0.2">
      <c r="B254" s="32" t="s">
        <v>587</v>
      </c>
      <c r="C254" s="33" t="s">
        <v>482</v>
      </c>
      <c r="D254" s="33">
        <v>12855</v>
      </c>
      <c r="E254" s="33">
        <v>0</v>
      </c>
      <c r="F254" s="33">
        <v>12000</v>
      </c>
      <c r="G254" s="33">
        <v>855</v>
      </c>
      <c r="H254" s="34">
        <v>1E+100</v>
      </c>
    </row>
    <row r="255" spans="2:8" x14ac:dyDescent="0.2">
      <c r="B255" s="32" t="s">
        <v>588</v>
      </c>
      <c r="C255" s="33" t="s">
        <v>483</v>
      </c>
      <c r="D255" s="33">
        <v>12000</v>
      </c>
      <c r="E255" s="33">
        <v>-2.6289703000000001E-2</v>
      </c>
      <c r="F255" s="33">
        <v>12000</v>
      </c>
      <c r="G255" s="33">
        <v>157.419951</v>
      </c>
      <c r="H255" s="34">
        <v>155</v>
      </c>
    </row>
    <row r="256" spans="2:8" ht="17" thickBot="1" x14ac:dyDescent="0.25">
      <c r="B256" s="35" t="s">
        <v>628</v>
      </c>
      <c r="C256" s="36" t="s">
        <v>464</v>
      </c>
      <c r="D256" s="36">
        <v>220000</v>
      </c>
      <c r="E256" s="36">
        <v>0.49083735000000001</v>
      </c>
      <c r="F256" s="36">
        <v>220000</v>
      </c>
      <c r="G256" s="36">
        <v>805.05589840000005</v>
      </c>
      <c r="H256" s="37">
        <v>168.79012969999999</v>
      </c>
    </row>
    <row r="257" spans="2:8" x14ac:dyDescent="0.2">
      <c r="B257" s="31"/>
      <c r="C257" s="31"/>
      <c r="D257" s="31"/>
      <c r="E257" s="31"/>
      <c r="F257" s="31"/>
      <c r="G257" s="31"/>
      <c r="H257" s="3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E6A6B-68AC-FE41-80FD-E8B99735C71C}">
  <sheetPr codeName="Hoja1"/>
  <dimension ref="A2:BC253"/>
  <sheetViews>
    <sheetView topLeftCell="A13" zoomScale="34" zoomScaleNormal="98" workbookViewId="0">
      <selection activeCell="AD10" sqref="AD10"/>
    </sheetView>
  </sheetViews>
  <sheetFormatPr baseColWidth="10" defaultColWidth="11" defaultRowHeight="16" x14ac:dyDescent="0.2"/>
  <cols>
    <col min="1" max="1" width="40" bestFit="1" customWidth="1"/>
    <col min="2" max="2" width="26.33203125" bestFit="1" customWidth="1"/>
    <col min="3" max="3" width="12.5" customWidth="1"/>
    <col min="5" max="5" width="23.33203125" bestFit="1" customWidth="1"/>
    <col min="6" max="6" width="53.83203125" customWidth="1"/>
    <col min="7" max="7" width="37.33203125" bestFit="1" customWidth="1"/>
    <col min="8" max="8" width="25.6640625" bestFit="1" customWidth="1"/>
    <col min="9" max="9" width="21.6640625" customWidth="1"/>
    <col min="10" max="10" width="14.1640625" customWidth="1"/>
    <col min="11" max="11" width="28.33203125" bestFit="1" customWidth="1"/>
    <col min="12" max="12" width="13.5" customWidth="1"/>
    <col min="16" max="16" width="42.6640625" customWidth="1"/>
    <col min="17" max="17" width="50" bestFit="1" customWidth="1"/>
    <col min="18" max="18" width="15.5" customWidth="1"/>
    <col min="19" max="19" width="52" bestFit="1" customWidth="1"/>
    <col min="20" max="20" width="31" bestFit="1" customWidth="1"/>
    <col min="21" max="21" width="40.5" bestFit="1" customWidth="1"/>
    <col min="22" max="22" width="19.1640625" customWidth="1"/>
    <col min="23" max="23" width="22.6640625" customWidth="1"/>
    <col min="26" max="26" width="20" customWidth="1"/>
    <col min="27" max="27" width="26.1640625" customWidth="1"/>
    <col min="46" max="46" width="41.1640625" customWidth="1"/>
    <col min="47" max="47" width="41.5" customWidth="1"/>
    <col min="48" max="48" width="27.33203125" bestFit="1" customWidth="1"/>
    <col min="49" max="50" width="8.1640625" bestFit="1" customWidth="1"/>
  </cols>
  <sheetData>
    <row r="2" spans="1:55" x14ac:dyDescent="0.2">
      <c r="A2" s="23"/>
      <c r="B2" s="59" t="s">
        <v>0</v>
      </c>
      <c r="C2" s="59" t="s">
        <v>1</v>
      </c>
      <c r="G2" s="23" t="s">
        <v>2</v>
      </c>
      <c r="H2" s="24" t="s">
        <v>3</v>
      </c>
      <c r="I2" s="25" t="s">
        <v>4</v>
      </c>
      <c r="J2" s="24" t="s">
        <v>5</v>
      </c>
      <c r="K2" s="24" t="s">
        <v>6</v>
      </c>
      <c r="L2" s="26" t="s">
        <v>7</v>
      </c>
      <c r="M2" s="27" t="s">
        <v>8</v>
      </c>
      <c r="N2" s="27" t="s">
        <v>9</v>
      </c>
      <c r="O2" s="27" t="s">
        <v>10</v>
      </c>
      <c r="P2" s="87"/>
    </row>
    <row r="3" spans="1:55" x14ac:dyDescent="0.2">
      <c r="A3" s="60" t="s">
        <v>11</v>
      </c>
      <c r="B3" s="1" t="s">
        <v>12</v>
      </c>
      <c r="C3" s="1">
        <v>0</v>
      </c>
      <c r="G3" s="21" t="s">
        <v>541</v>
      </c>
      <c r="H3" s="5" t="s">
        <v>12</v>
      </c>
      <c r="I3" s="5">
        <f>3.2*K3*0.65</f>
        <v>178.88</v>
      </c>
      <c r="J3" s="5">
        <f>(7.5*K3)*1.5</f>
        <v>967.5</v>
      </c>
      <c r="K3" s="5">
        <v>86</v>
      </c>
      <c r="L3" s="5">
        <v>2</v>
      </c>
      <c r="M3" s="22">
        <v>110</v>
      </c>
      <c r="N3" s="5">
        <f t="shared" ref="N3:N41" si="0">I3+M3</f>
        <v>288.88</v>
      </c>
      <c r="O3" s="13">
        <f>J3-N3</f>
        <v>678.62</v>
      </c>
    </row>
    <row r="4" spans="1:55" x14ac:dyDescent="0.2">
      <c r="A4" s="7"/>
      <c r="B4" s="1" t="s">
        <v>13</v>
      </c>
      <c r="C4" s="1">
        <v>0</v>
      </c>
      <c r="G4" s="14"/>
      <c r="H4" s="14" t="s">
        <v>13</v>
      </c>
      <c r="I4" s="14">
        <f>6.8*K4*0.65</f>
        <v>556.91999999999996</v>
      </c>
      <c r="J4" s="14">
        <f>14*K4*1.5</f>
        <v>2646</v>
      </c>
      <c r="K4" s="14">
        <f>63*2</f>
        <v>126</v>
      </c>
      <c r="L4" s="28">
        <v>3</v>
      </c>
      <c r="M4" s="29">
        <v>300</v>
      </c>
      <c r="N4" s="28">
        <f t="shared" si="0"/>
        <v>856.92</v>
      </c>
      <c r="O4" s="28">
        <f t="shared" ref="O4:O41" si="1">J4-N4</f>
        <v>1789.08</v>
      </c>
      <c r="Q4" s="55"/>
    </row>
    <row r="5" spans="1:55" ht="17" thickBot="1" x14ac:dyDescent="0.25">
      <c r="A5" s="7"/>
      <c r="B5" s="1" t="s">
        <v>14</v>
      </c>
      <c r="C5" s="1">
        <v>1</v>
      </c>
      <c r="G5" s="5"/>
      <c r="H5" s="5" t="s">
        <v>14</v>
      </c>
      <c r="I5" s="5">
        <f>13*K5*0.65</f>
        <v>1318.2</v>
      </c>
      <c r="J5" s="5">
        <f>24*K5*1.5</f>
        <v>5616</v>
      </c>
      <c r="K5" s="5">
        <f>78*2</f>
        <v>156</v>
      </c>
      <c r="L5" s="13">
        <v>5</v>
      </c>
      <c r="M5" s="20">
        <v>507</v>
      </c>
      <c r="N5" s="13">
        <f t="shared" si="0"/>
        <v>1825.2</v>
      </c>
      <c r="O5" s="13">
        <f t="shared" si="1"/>
        <v>3790.8</v>
      </c>
      <c r="V5" s="92" t="s">
        <v>630</v>
      </c>
      <c r="W5" s="93" t="s">
        <v>635</v>
      </c>
      <c r="Z5" s="92" t="s">
        <v>630</v>
      </c>
      <c r="AA5" s="94" t="s">
        <v>636</v>
      </c>
    </row>
    <row r="6" spans="1:55" x14ac:dyDescent="0.2">
      <c r="A6" s="60" t="s">
        <v>15</v>
      </c>
      <c r="B6" s="1" t="s">
        <v>16</v>
      </c>
      <c r="C6" s="1">
        <v>0</v>
      </c>
      <c r="G6" s="21" t="s">
        <v>15</v>
      </c>
      <c r="H6" s="5" t="s">
        <v>16</v>
      </c>
      <c r="I6" s="5">
        <f>13*K6*0.65</f>
        <v>752.05000000000007</v>
      </c>
      <c r="J6" s="5">
        <f>28*K6*1.5</f>
        <v>3738</v>
      </c>
      <c r="K6" s="5">
        <v>89</v>
      </c>
      <c r="L6" s="13">
        <v>2</v>
      </c>
      <c r="M6" s="20">
        <v>463</v>
      </c>
      <c r="N6" s="13">
        <f t="shared" si="0"/>
        <v>1215.0500000000002</v>
      </c>
      <c r="O6" s="13">
        <f t="shared" si="1"/>
        <v>2522.9499999999998</v>
      </c>
      <c r="Q6" s="67" t="s">
        <v>10</v>
      </c>
      <c r="V6" s="41" t="s">
        <v>631</v>
      </c>
      <c r="W6">
        <f>SUMPRODUCT(C3:C38,O3:O38)*0.5</f>
        <v>36614.150006159005</v>
      </c>
      <c r="Z6" t="s">
        <v>631</v>
      </c>
      <c r="AA6">
        <f>SUMPRODUCT(C3:C38,N3:N38)*1.2</f>
        <v>62736.709292858395</v>
      </c>
    </row>
    <row r="7" spans="1:55" ht="25" thickBot="1" x14ac:dyDescent="0.35">
      <c r="A7" s="7"/>
      <c r="B7" s="1" t="s">
        <v>17</v>
      </c>
      <c r="C7" s="1">
        <v>0</v>
      </c>
      <c r="G7" s="5"/>
      <c r="H7" s="5" t="s">
        <v>17</v>
      </c>
      <c r="I7" s="5">
        <f>25*K7*0.65</f>
        <v>845</v>
      </c>
      <c r="J7" s="5">
        <f>52*K7*1.5</f>
        <v>4056</v>
      </c>
      <c r="K7" s="5">
        <f>(2600*0.6)/30</f>
        <v>52</v>
      </c>
      <c r="L7" s="13">
        <v>4</v>
      </c>
      <c r="M7" s="20">
        <v>390</v>
      </c>
      <c r="N7" s="13">
        <f t="shared" si="0"/>
        <v>1235</v>
      </c>
      <c r="O7" s="13">
        <f t="shared" si="1"/>
        <v>2821</v>
      </c>
      <c r="Q7" s="88">
        <f>SUMPRODUCT(C3:C172,O3:O172)*0.5</f>
        <v>120163.248501674</v>
      </c>
      <c r="R7" s="56"/>
      <c r="V7" s="41" t="s">
        <v>632</v>
      </c>
      <c r="W7">
        <f>SUMPRODUCT(O39:O74,C39:C74)*0.5</f>
        <v>38011.098493564998</v>
      </c>
      <c r="Z7" t="s">
        <v>632</v>
      </c>
      <c r="AA7">
        <f>SUMPRODUCT(N39:N74,C39:C74)*1.2</f>
        <v>71948.96888891999</v>
      </c>
    </row>
    <row r="8" spans="1:55" ht="17" thickBot="1" x14ac:dyDescent="0.25">
      <c r="A8" s="7"/>
      <c r="B8" s="1" t="s">
        <v>18</v>
      </c>
      <c r="C8" s="1">
        <v>1</v>
      </c>
      <c r="G8" s="5"/>
      <c r="H8" s="5" t="s">
        <v>18</v>
      </c>
      <c r="I8" s="5">
        <f>46*K8*0.65</f>
        <v>3737.5</v>
      </c>
      <c r="J8" s="5">
        <f>88*K8*1.5</f>
        <v>16500</v>
      </c>
      <c r="K8" s="5">
        <v>125</v>
      </c>
      <c r="L8" s="13">
        <v>5</v>
      </c>
      <c r="M8" s="20">
        <v>1438</v>
      </c>
      <c r="N8" s="13">
        <f t="shared" si="0"/>
        <v>5175.5</v>
      </c>
      <c r="O8" s="13">
        <f t="shared" si="1"/>
        <v>11324.5</v>
      </c>
      <c r="V8" s="41" t="s">
        <v>633</v>
      </c>
      <c r="W8">
        <f>SUMPRODUCT(C75:C92,O75:O92)*0.5</f>
        <v>17473.5</v>
      </c>
      <c r="Z8" t="s">
        <v>633</v>
      </c>
      <c r="AA8">
        <f>SUMPRODUCT(C75:C92,N75:N92)*1.2</f>
        <v>32664.6</v>
      </c>
    </row>
    <row r="9" spans="1:55" x14ac:dyDescent="0.2">
      <c r="A9" s="7" t="s">
        <v>19</v>
      </c>
      <c r="B9" s="1" t="s">
        <v>12</v>
      </c>
      <c r="C9" s="1">
        <v>0</v>
      </c>
      <c r="G9" s="21" t="s">
        <v>542</v>
      </c>
      <c r="H9" s="5" t="s">
        <v>12</v>
      </c>
      <c r="I9" s="5">
        <f>3.2*K9</f>
        <v>275.2</v>
      </c>
      <c r="J9" s="5">
        <f>7.5*K9*1.5</f>
        <v>967.5</v>
      </c>
      <c r="K9" s="5">
        <v>86</v>
      </c>
      <c r="L9" s="5">
        <v>2</v>
      </c>
      <c r="M9" s="22">
        <v>110</v>
      </c>
      <c r="N9" s="5">
        <f t="shared" si="0"/>
        <v>385.2</v>
      </c>
      <c r="O9" s="13">
        <f t="shared" si="1"/>
        <v>582.29999999999995</v>
      </c>
      <c r="Q9" s="66" t="s">
        <v>569</v>
      </c>
      <c r="V9" s="41" t="s">
        <v>634</v>
      </c>
      <c r="W9">
        <f>SUMPRODUCT(C93:C116,O93:O116)*0.5</f>
        <v>25710</v>
      </c>
      <c r="Z9" t="s">
        <v>634</v>
      </c>
      <c r="AA9">
        <f>SUMPRODUCT(C93:C116,N93:N116)*1.2</f>
        <v>47592</v>
      </c>
    </row>
    <row r="10" spans="1:55" ht="25" thickBot="1" x14ac:dyDescent="0.35">
      <c r="A10" s="7"/>
      <c r="B10" s="1" t="s">
        <v>13</v>
      </c>
      <c r="C10" s="1">
        <v>0.24689031</v>
      </c>
      <c r="G10" s="14"/>
      <c r="H10" s="14" t="s">
        <v>13</v>
      </c>
      <c r="I10" s="14">
        <f>6.8*K10</f>
        <v>856.8</v>
      </c>
      <c r="J10" s="14">
        <f>14*K10*1.5</f>
        <v>2646</v>
      </c>
      <c r="K10" s="14">
        <f>63*2</f>
        <v>126</v>
      </c>
      <c r="L10" s="28">
        <v>3</v>
      </c>
      <c r="M10" s="29">
        <v>300</v>
      </c>
      <c r="N10" s="28">
        <f t="shared" si="0"/>
        <v>1156.8</v>
      </c>
      <c r="O10" s="28">
        <f t="shared" si="1"/>
        <v>1489.2</v>
      </c>
      <c r="Q10" s="65">
        <f>SUMPRODUCT(C3:C172,N3:N172)*1.2</f>
        <v>220000.00000737843</v>
      </c>
      <c r="AU10" s="14"/>
      <c r="AV10" s="14"/>
      <c r="AW10" s="14"/>
      <c r="AX10" s="14"/>
      <c r="AY10" s="14"/>
      <c r="AZ10" s="28"/>
      <c r="BA10" s="29"/>
      <c r="BB10" s="28"/>
      <c r="BC10" s="14"/>
    </row>
    <row r="11" spans="1:55" x14ac:dyDescent="0.2">
      <c r="A11" s="7"/>
      <c r="B11" s="1" t="s">
        <v>14</v>
      </c>
      <c r="C11" s="1">
        <v>0.75310969000000005</v>
      </c>
      <c r="G11" s="5"/>
      <c r="H11" s="5" t="s">
        <v>14</v>
      </c>
      <c r="I11" s="5">
        <f>13*K11</f>
        <v>2028</v>
      </c>
      <c r="J11" s="5">
        <f>24*K11*1.5</f>
        <v>5616</v>
      </c>
      <c r="K11" s="5">
        <f>78*2</f>
        <v>156</v>
      </c>
      <c r="L11" s="13">
        <v>5</v>
      </c>
      <c r="M11" s="20">
        <v>507</v>
      </c>
      <c r="N11" s="13">
        <f t="shared" si="0"/>
        <v>2535</v>
      </c>
      <c r="O11" s="13">
        <f t="shared" si="1"/>
        <v>3081</v>
      </c>
      <c r="AU11" s="5"/>
      <c r="AV11" s="5"/>
      <c r="AW11" s="5"/>
      <c r="AX11" s="5"/>
      <c r="AY11" s="5"/>
      <c r="AZ11" s="13"/>
      <c r="BA11" s="13"/>
      <c r="BB11" s="13"/>
      <c r="BC11" s="5"/>
    </row>
    <row r="12" spans="1:55" x14ac:dyDescent="0.2">
      <c r="A12" s="7" t="s">
        <v>23</v>
      </c>
      <c r="B12" s="1" t="s">
        <v>16</v>
      </c>
      <c r="C12" s="1">
        <v>0</v>
      </c>
      <c r="G12" s="21" t="s">
        <v>545</v>
      </c>
      <c r="H12" s="5" t="s">
        <v>16</v>
      </c>
      <c r="I12" s="5">
        <f>13*K12</f>
        <v>1157</v>
      </c>
      <c r="J12" s="5">
        <f>28*K12*1.5</f>
        <v>3738</v>
      </c>
      <c r="K12" s="5">
        <v>89</v>
      </c>
      <c r="L12" s="13">
        <v>2</v>
      </c>
      <c r="M12" s="20">
        <v>463</v>
      </c>
      <c r="N12" s="13">
        <f t="shared" si="0"/>
        <v>1620</v>
      </c>
      <c r="O12" s="13">
        <f t="shared" si="1"/>
        <v>2118</v>
      </c>
      <c r="AU12" s="5"/>
      <c r="AV12" s="5"/>
      <c r="AW12" s="5"/>
      <c r="AX12" s="5"/>
      <c r="AY12" s="5"/>
      <c r="AZ12" s="13"/>
      <c r="BA12" s="13"/>
      <c r="BB12" s="13"/>
      <c r="BC12" s="5"/>
    </row>
    <row r="13" spans="1:55" x14ac:dyDescent="0.2">
      <c r="A13" s="7"/>
      <c r="B13" s="1" t="s">
        <v>17</v>
      </c>
      <c r="C13" s="1">
        <v>0</v>
      </c>
      <c r="G13" s="5"/>
      <c r="H13" s="5" t="s">
        <v>17</v>
      </c>
      <c r="I13" s="5">
        <f>25*K13</f>
        <v>1300</v>
      </c>
      <c r="J13" s="5">
        <f>52*K13*1.5</f>
        <v>4056</v>
      </c>
      <c r="K13" s="5">
        <f>(2600*0.6)/30</f>
        <v>52</v>
      </c>
      <c r="L13" s="13">
        <v>4</v>
      </c>
      <c r="M13" s="20">
        <v>390</v>
      </c>
      <c r="N13" s="13">
        <f t="shared" si="0"/>
        <v>1690</v>
      </c>
      <c r="O13" s="13">
        <f t="shared" si="1"/>
        <v>2366</v>
      </c>
      <c r="Q13" s="68" t="s">
        <v>140</v>
      </c>
      <c r="R13" s="3" t="s">
        <v>141</v>
      </c>
      <c r="S13" s="3"/>
      <c r="T13" s="3"/>
      <c r="AU13" s="5"/>
      <c r="AV13" s="5"/>
      <c r="AW13" s="5"/>
      <c r="AX13" s="5"/>
      <c r="AY13" s="5"/>
      <c r="AZ13" s="13"/>
      <c r="BA13" s="13"/>
      <c r="BB13" s="13"/>
      <c r="BC13" s="5"/>
    </row>
    <row r="14" spans="1:55" x14ac:dyDescent="0.2">
      <c r="A14" s="7"/>
      <c r="B14" s="1" t="s">
        <v>18</v>
      </c>
      <c r="C14" s="1">
        <v>1</v>
      </c>
      <c r="G14" s="5"/>
      <c r="H14" s="5" t="s">
        <v>18</v>
      </c>
      <c r="I14" s="5">
        <f>46*K14</f>
        <v>5750</v>
      </c>
      <c r="J14" s="5">
        <f>88*K14*1.5</f>
        <v>16500</v>
      </c>
      <c r="K14" s="5">
        <v>125</v>
      </c>
      <c r="L14" s="13">
        <v>5</v>
      </c>
      <c r="M14" s="20">
        <v>1438</v>
      </c>
      <c r="N14" s="13">
        <f t="shared" si="0"/>
        <v>7188</v>
      </c>
      <c r="O14" s="13">
        <f t="shared" si="1"/>
        <v>9312</v>
      </c>
      <c r="Q14" s="16" t="s">
        <v>143</v>
      </c>
      <c r="R14" s="5">
        <f>SUMPRODUCT(C3:C172,L3:L172)/57</f>
        <v>2.9583193515789477</v>
      </c>
      <c r="S14" s="5" t="s">
        <v>155</v>
      </c>
      <c r="T14" s="5">
        <v>2.7</v>
      </c>
      <c r="AU14" s="5"/>
      <c r="AV14" s="5"/>
      <c r="AW14" s="5"/>
      <c r="AX14" s="5"/>
      <c r="AY14" s="5"/>
      <c r="AZ14" s="13"/>
      <c r="BA14" s="13"/>
      <c r="BB14" s="13"/>
      <c r="BC14" s="5"/>
    </row>
    <row r="15" spans="1:55" ht="17" thickBot="1" x14ac:dyDescent="0.25">
      <c r="A15" s="7" t="s">
        <v>27</v>
      </c>
      <c r="B15" s="1" t="s">
        <v>12</v>
      </c>
      <c r="C15" s="1">
        <v>0</v>
      </c>
      <c r="G15" s="21" t="s">
        <v>543</v>
      </c>
      <c r="H15" s="5" t="s">
        <v>12</v>
      </c>
      <c r="I15" s="5">
        <f>3.2*K15</f>
        <v>275.2</v>
      </c>
      <c r="J15" s="5">
        <f>7.5*K15*1.5</f>
        <v>967.5</v>
      </c>
      <c r="K15" s="5">
        <v>86</v>
      </c>
      <c r="L15" s="5">
        <v>2</v>
      </c>
      <c r="M15" s="22">
        <v>110</v>
      </c>
      <c r="N15" s="5">
        <f t="shared" si="0"/>
        <v>385.2</v>
      </c>
      <c r="O15" s="13">
        <f t="shared" si="1"/>
        <v>582.29999999999995</v>
      </c>
      <c r="Q15" s="57" t="s">
        <v>144</v>
      </c>
      <c r="R15" s="12">
        <f>Q10</f>
        <v>220000.00000737843</v>
      </c>
      <c r="S15" s="12" t="s">
        <v>176</v>
      </c>
      <c r="T15" s="12">
        <v>220000</v>
      </c>
      <c r="AU15" s="5"/>
      <c r="AV15" s="5"/>
      <c r="AW15" s="5"/>
      <c r="AX15" s="5"/>
      <c r="AY15" s="5"/>
      <c r="AZ15" s="13"/>
      <c r="BA15" s="13"/>
      <c r="BB15" s="13"/>
      <c r="BC15" s="5"/>
    </row>
    <row r="16" spans="1:55" ht="17" thickBot="1" x14ac:dyDescent="0.25">
      <c r="A16" s="7"/>
      <c r="B16" s="1" t="s">
        <v>13</v>
      </c>
      <c r="C16" s="1">
        <v>0.24689031</v>
      </c>
      <c r="G16" s="14"/>
      <c r="H16" s="14" t="s">
        <v>13</v>
      </c>
      <c r="I16" s="14">
        <f>6.8*K16</f>
        <v>856.8</v>
      </c>
      <c r="J16" s="14">
        <f>14*K16*1.5</f>
        <v>2646</v>
      </c>
      <c r="K16" s="14">
        <f>63*2</f>
        <v>126</v>
      </c>
      <c r="L16" s="28">
        <v>3</v>
      </c>
      <c r="M16" s="29">
        <v>300</v>
      </c>
      <c r="N16" s="28">
        <f t="shared" si="0"/>
        <v>1156.8</v>
      </c>
      <c r="O16" s="28">
        <f t="shared" si="1"/>
        <v>1489.2</v>
      </c>
      <c r="Q16" s="69" t="s">
        <v>11</v>
      </c>
      <c r="R16" s="15">
        <f t="shared" ref="R16:R53" ca="1" si="2">SUM(OFFSET($C$3, (ROW()-ROW($R$16))*3, 0, 3, 1))</f>
        <v>1</v>
      </c>
      <c r="S16" s="15" t="s">
        <v>176</v>
      </c>
      <c r="T16" s="89">
        <v>1</v>
      </c>
      <c r="AU16" s="5"/>
      <c r="AV16" s="5"/>
      <c r="AW16" s="5"/>
      <c r="AX16" s="5"/>
      <c r="AY16" s="5"/>
      <c r="AZ16" s="13"/>
      <c r="BA16" s="13"/>
      <c r="BB16" s="13"/>
      <c r="BC16" s="5"/>
    </row>
    <row r="17" spans="1:55" ht="17" thickBot="1" x14ac:dyDescent="0.25">
      <c r="A17" s="7"/>
      <c r="B17" s="1" t="s">
        <v>14</v>
      </c>
      <c r="C17" s="1">
        <v>0.75310969000000005</v>
      </c>
      <c r="G17" s="5"/>
      <c r="H17" s="5" t="s">
        <v>14</v>
      </c>
      <c r="I17" s="5">
        <f>13*K17</f>
        <v>2028</v>
      </c>
      <c r="J17" s="5">
        <f>24*K17*1.5</f>
        <v>5616</v>
      </c>
      <c r="K17" s="5">
        <f>78*2</f>
        <v>156</v>
      </c>
      <c r="L17" s="13">
        <v>5</v>
      </c>
      <c r="M17" s="20">
        <v>507</v>
      </c>
      <c r="N17" s="13">
        <f t="shared" si="0"/>
        <v>2535</v>
      </c>
      <c r="O17" s="13">
        <f t="shared" si="1"/>
        <v>3081</v>
      </c>
      <c r="Q17" s="70" t="s">
        <v>15</v>
      </c>
      <c r="R17" s="15">
        <f t="shared" ca="1" si="2"/>
        <v>1</v>
      </c>
      <c r="S17" s="15" t="s">
        <v>176</v>
      </c>
      <c r="T17" s="13">
        <v>1</v>
      </c>
      <c r="AU17" s="3" t="s">
        <v>36</v>
      </c>
      <c r="AV17" s="5" t="s">
        <v>37</v>
      </c>
      <c r="AW17" s="5">
        <f>3*AY17</f>
        <v>150</v>
      </c>
      <c r="AX17" s="5">
        <f>7*AY17</f>
        <v>350</v>
      </c>
      <c r="AY17" s="5">
        <v>50</v>
      </c>
      <c r="AZ17" s="13">
        <v>2</v>
      </c>
      <c r="BA17" s="20">
        <v>60</v>
      </c>
      <c r="BB17" s="13">
        <f t="shared" ref="BB17:BB22" si="3">AW17+BA17</f>
        <v>210</v>
      </c>
      <c r="BC17" s="5">
        <f t="shared" ref="BC17:BC22" si="4">AX17-BB17</f>
        <v>140</v>
      </c>
    </row>
    <row r="18" spans="1:55" ht="17" thickBot="1" x14ac:dyDescent="0.25">
      <c r="A18" s="7" t="s">
        <v>31</v>
      </c>
      <c r="B18" s="1" t="s">
        <v>16</v>
      </c>
      <c r="C18" s="1">
        <v>0</v>
      </c>
      <c r="G18" s="21" t="s">
        <v>546</v>
      </c>
      <c r="H18" s="5" t="s">
        <v>16</v>
      </c>
      <c r="I18" s="5">
        <f>13*K18</f>
        <v>1157</v>
      </c>
      <c r="J18" s="5">
        <f>28*K18*1.5</f>
        <v>3738</v>
      </c>
      <c r="K18" s="5">
        <v>89</v>
      </c>
      <c r="L18" s="13">
        <v>2</v>
      </c>
      <c r="M18" s="20">
        <v>463</v>
      </c>
      <c r="N18" s="13">
        <f t="shared" si="0"/>
        <v>1620</v>
      </c>
      <c r="O18" s="13">
        <f t="shared" si="1"/>
        <v>2118</v>
      </c>
      <c r="Q18" s="70" t="s">
        <v>19</v>
      </c>
      <c r="R18" s="15">
        <f t="shared" ca="1" si="2"/>
        <v>1</v>
      </c>
      <c r="S18" s="15" t="s">
        <v>176</v>
      </c>
      <c r="T18" s="13">
        <v>1</v>
      </c>
      <c r="AU18" s="5"/>
      <c r="AV18" s="5" t="s">
        <v>38</v>
      </c>
      <c r="AW18" s="5">
        <f>6.5*AY18</f>
        <v>572</v>
      </c>
      <c r="AX18" s="5">
        <f>13.5*AY18</f>
        <v>1188</v>
      </c>
      <c r="AY18" s="5">
        <v>88</v>
      </c>
      <c r="AZ18" s="13">
        <v>3</v>
      </c>
      <c r="BA18" s="20">
        <v>200</v>
      </c>
      <c r="BB18" s="13">
        <f t="shared" si="3"/>
        <v>772</v>
      </c>
      <c r="BC18" s="5">
        <f t="shared" si="4"/>
        <v>416</v>
      </c>
    </row>
    <row r="19" spans="1:55" ht="17" thickBot="1" x14ac:dyDescent="0.25">
      <c r="A19" s="7"/>
      <c r="B19" s="1" t="s">
        <v>17</v>
      </c>
      <c r="C19" s="1">
        <v>0</v>
      </c>
      <c r="G19" s="5"/>
      <c r="H19" s="5" t="s">
        <v>17</v>
      </c>
      <c r="I19" s="5">
        <f>25*K19</f>
        <v>1300</v>
      </c>
      <c r="J19" s="5">
        <f>52*K19*1.5</f>
        <v>4056</v>
      </c>
      <c r="K19" s="5">
        <f>(2600*0.6)/30</f>
        <v>52</v>
      </c>
      <c r="L19" s="13">
        <v>4</v>
      </c>
      <c r="M19" s="20">
        <v>390</v>
      </c>
      <c r="N19" s="13">
        <f t="shared" si="0"/>
        <v>1690</v>
      </c>
      <c r="O19" s="13">
        <f t="shared" si="1"/>
        <v>2366</v>
      </c>
      <c r="Q19" s="70" t="s">
        <v>23</v>
      </c>
      <c r="R19" s="15">
        <f t="shared" ca="1" si="2"/>
        <v>1</v>
      </c>
      <c r="S19" s="15" t="s">
        <v>176</v>
      </c>
      <c r="T19" s="13">
        <v>1</v>
      </c>
      <c r="AU19" s="5"/>
      <c r="AV19" s="5" t="s">
        <v>39</v>
      </c>
      <c r="AW19" s="5">
        <f>12.5*AY19</f>
        <v>1550</v>
      </c>
      <c r="AX19" s="5">
        <f>23*AY19</f>
        <v>2852</v>
      </c>
      <c r="AY19" s="5">
        <v>124</v>
      </c>
      <c r="AZ19" s="13">
        <v>5</v>
      </c>
      <c r="BA19" s="20">
        <v>388</v>
      </c>
      <c r="BB19" s="13">
        <f t="shared" si="3"/>
        <v>1938</v>
      </c>
      <c r="BC19" s="5">
        <f t="shared" si="4"/>
        <v>914</v>
      </c>
    </row>
    <row r="20" spans="1:55" ht="17" thickBot="1" x14ac:dyDescent="0.25">
      <c r="A20" s="7"/>
      <c r="B20" s="1" t="s">
        <v>18</v>
      </c>
      <c r="C20" s="1">
        <v>1</v>
      </c>
      <c r="G20" s="5"/>
      <c r="H20" s="5" t="s">
        <v>18</v>
      </c>
      <c r="I20" s="5">
        <f>46*K20</f>
        <v>5750</v>
      </c>
      <c r="J20" s="5">
        <f>88*K20*1.5</f>
        <v>16500</v>
      </c>
      <c r="K20" s="5">
        <v>125</v>
      </c>
      <c r="L20" s="13">
        <v>5</v>
      </c>
      <c r="M20" s="20">
        <v>1438</v>
      </c>
      <c r="N20" s="13">
        <f t="shared" si="0"/>
        <v>7188</v>
      </c>
      <c r="O20" s="13">
        <f t="shared" si="1"/>
        <v>9312</v>
      </c>
      <c r="Q20" s="70" t="s">
        <v>27</v>
      </c>
      <c r="R20" s="15">
        <f t="shared" ca="1" si="2"/>
        <v>1</v>
      </c>
      <c r="S20" s="15" t="s">
        <v>176</v>
      </c>
      <c r="T20" s="13">
        <v>1</v>
      </c>
      <c r="AU20" s="3" t="s">
        <v>41</v>
      </c>
      <c r="AV20" s="5" t="s">
        <v>42</v>
      </c>
      <c r="AW20" s="5">
        <f>13*AY20</f>
        <v>468</v>
      </c>
      <c r="AX20" s="5">
        <f>28*AY20</f>
        <v>1008</v>
      </c>
      <c r="AY20" s="5">
        <v>36</v>
      </c>
      <c r="AZ20" s="13">
        <v>2</v>
      </c>
      <c r="BA20" s="20">
        <v>187</v>
      </c>
      <c r="BB20" s="13">
        <f t="shared" si="3"/>
        <v>655</v>
      </c>
      <c r="BC20" s="5">
        <f t="shared" si="4"/>
        <v>353</v>
      </c>
    </row>
    <row r="21" spans="1:55" ht="17" thickBot="1" x14ac:dyDescent="0.25">
      <c r="A21" s="7" t="s">
        <v>35</v>
      </c>
      <c r="B21" s="1" t="s">
        <v>12</v>
      </c>
      <c r="C21" s="1">
        <v>0</v>
      </c>
      <c r="G21" s="21" t="s">
        <v>544</v>
      </c>
      <c r="H21" s="5" t="s">
        <v>12</v>
      </c>
      <c r="I21" s="5">
        <f>3.2*K21</f>
        <v>275.2</v>
      </c>
      <c r="J21" s="5">
        <f>7.5*K21*1.5</f>
        <v>967.5</v>
      </c>
      <c r="K21" s="5">
        <v>86</v>
      </c>
      <c r="L21" s="5">
        <v>2</v>
      </c>
      <c r="M21" s="22">
        <v>110</v>
      </c>
      <c r="N21" s="5">
        <f t="shared" si="0"/>
        <v>385.2</v>
      </c>
      <c r="O21" s="13">
        <f t="shared" si="1"/>
        <v>582.29999999999995</v>
      </c>
      <c r="Q21" s="70" t="s">
        <v>31</v>
      </c>
      <c r="R21" s="15">
        <f t="shared" ca="1" si="2"/>
        <v>1</v>
      </c>
      <c r="S21" s="15" t="s">
        <v>176</v>
      </c>
      <c r="T21" s="13">
        <v>1</v>
      </c>
      <c r="AU21" s="5"/>
      <c r="AV21" s="5" t="s">
        <v>43</v>
      </c>
      <c r="AW21" s="5">
        <f>24*AY21</f>
        <v>1776</v>
      </c>
      <c r="AX21" s="5">
        <f>50*AY21</f>
        <v>3700</v>
      </c>
      <c r="AY21" s="5">
        <v>74</v>
      </c>
      <c r="AZ21" s="13">
        <v>4</v>
      </c>
      <c r="BA21" s="20">
        <v>533</v>
      </c>
      <c r="BB21" s="13">
        <f t="shared" si="3"/>
        <v>2309</v>
      </c>
      <c r="BC21" s="5">
        <f t="shared" si="4"/>
        <v>1391</v>
      </c>
    </row>
    <row r="22" spans="1:55" ht="17" thickBot="1" x14ac:dyDescent="0.25">
      <c r="A22" s="7"/>
      <c r="B22" s="1" t="s">
        <v>13</v>
      </c>
      <c r="C22" s="1">
        <v>0.80663399999999996</v>
      </c>
      <c r="G22" s="14"/>
      <c r="H22" s="14" t="s">
        <v>13</v>
      </c>
      <c r="I22" s="14">
        <f>6.8*K22</f>
        <v>856.8</v>
      </c>
      <c r="J22" s="14">
        <f>14*K22*1.5</f>
        <v>2646</v>
      </c>
      <c r="K22" s="14">
        <f>63*2</f>
        <v>126</v>
      </c>
      <c r="L22" s="28">
        <v>3</v>
      </c>
      <c r="M22" s="29">
        <v>300</v>
      </c>
      <c r="N22" s="28">
        <f t="shared" si="0"/>
        <v>1156.8</v>
      </c>
      <c r="O22" s="28">
        <f t="shared" si="1"/>
        <v>1489.2</v>
      </c>
      <c r="Q22" s="70" t="s">
        <v>35</v>
      </c>
      <c r="R22" s="15">
        <f t="shared" ca="1" si="2"/>
        <v>1</v>
      </c>
      <c r="S22" s="15" t="s">
        <v>176</v>
      </c>
      <c r="T22" s="13">
        <v>1</v>
      </c>
      <c r="AU22" s="5"/>
      <c r="AV22" s="5" t="s">
        <v>44</v>
      </c>
      <c r="AW22" s="5">
        <f>46*AY22</f>
        <v>7314</v>
      </c>
      <c r="AX22" s="5">
        <f>88*AY22</f>
        <v>13992</v>
      </c>
      <c r="AY22" s="5">
        <v>159</v>
      </c>
      <c r="AZ22" s="13">
        <v>5</v>
      </c>
      <c r="BA22" s="20">
        <v>1829</v>
      </c>
      <c r="BB22" s="13">
        <f t="shared" si="3"/>
        <v>9143</v>
      </c>
      <c r="BC22" s="5">
        <f t="shared" si="4"/>
        <v>4849</v>
      </c>
    </row>
    <row r="23" spans="1:55" ht="17" thickBot="1" x14ac:dyDescent="0.25">
      <c r="A23" s="7"/>
      <c r="B23" s="1" t="s">
        <v>14</v>
      </c>
      <c r="C23" s="1">
        <v>0.19336600000000001</v>
      </c>
      <c r="G23" s="5"/>
      <c r="H23" s="5" t="s">
        <v>14</v>
      </c>
      <c r="I23" s="5">
        <f>13*K23</f>
        <v>2028</v>
      </c>
      <c r="J23" s="5">
        <f>24*K23*1.5</f>
        <v>5616</v>
      </c>
      <c r="K23" s="5">
        <f>78*2</f>
        <v>156</v>
      </c>
      <c r="L23" s="13">
        <v>5</v>
      </c>
      <c r="M23" s="20">
        <v>507</v>
      </c>
      <c r="N23" s="13">
        <f t="shared" si="0"/>
        <v>2535</v>
      </c>
      <c r="O23" s="13">
        <f t="shared" si="1"/>
        <v>3081</v>
      </c>
      <c r="Q23" s="70" t="s">
        <v>40</v>
      </c>
      <c r="R23" s="15">
        <f t="shared" ca="1" si="2"/>
        <v>1</v>
      </c>
      <c r="S23" s="15" t="s">
        <v>176</v>
      </c>
      <c r="T23" s="13">
        <v>1</v>
      </c>
    </row>
    <row r="24" spans="1:55" ht="17" thickBot="1" x14ac:dyDescent="0.25">
      <c r="A24" s="7" t="s">
        <v>40</v>
      </c>
      <c r="B24" s="1" t="s">
        <v>16</v>
      </c>
      <c r="C24" s="1">
        <v>0</v>
      </c>
      <c r="G24" s="21" t="s">
        <v>547</v>
      </c>
      <c r="H24" s="5" t="s">
        <v>16</v>
      </c>
      <c r="I24" s="5">
        <f>13*K24</f>
        <v>1157</v>
      </c>
      <c r="J24" s="5">
        <f>28*K24*1.5</f>
        <v>3738</v>
      </c>
      <c r="K24" s="5">
        <v>89</v>
      </c>
      <c r="L24" s="13">
        <v>2</v>
      </c>
      <c r="M24" s="20">
        <v>463</v>
      </c>
      <c r="N24" s="13">
        <f t="shared" si="0"/>
        <v>1620</v>
      </c>
      <c r="O24" s="13">
        <f t="shared" si="1"/>
        <v>2118</v>
      </c>
      <c r="Q24" s="70" t="s">
        <v>45</v>
      </c>
      <c r="R24" s="15">
        <f t="shared" ca="1" si="2"/>
        <v>1</v>
      </c>
      <c r="S24" s="15" t="s">
        <v>176</v>
      </c>
      <c r="T24" s="13">
        <v>1</v>
      </c>
    </row>
    <row r="25" spans="1:55" ht="17" thickBot="1" x14ac:dyDescent="0.25">
      <c r="A25" s="7"/>
      <c r="B25" s="1" t="s">
        <v>17</v>
      </c>
      <c r="C25" s="1">
        <v>0</v>
      </c>
      <c r="G25" s="5"/>
      <c r="H25" s="5" t="s">
        <v>17</v>
      </c>
      <c r="I25" s="5">
        <f>25*K25</f>
        <v>1300</v>
      </c>
      <c r="J25" s="5">
        <f>52*K25*1.5</f>
        <v>4056</v>
      </c>
      <c r="K25" s="5">
        <f>(2600*0.6)/30</f>
        <v>52</v>
      </c>
      <c r="L25" s="13">
        <v>4</v>
      </c>
      <c r="M25" s="20">
        <v>390</v>
      </c>
      <c r="N25" s="13">
        <f t="shared" si="0"/>
        <v>1690</v>
      </c>
      <c r="O25" s="13">
        <f t="shared" si="1"/>
        <v>2366</v>
      </c>
      <c r="Q25" s="70" t="s">
        <v>50</v>
      </c>
      <c r="R25" s="15">
        <f t="shared" ca="1" si="2"/>
        <v>1</v>
      </c>
      <c r="S25" s="15" t="s">
        <v>176</v>
      </c>
      <c r="T25" s="13">
        <v>1</v>
      </c>
    </row>
    <row r="26" spans="1:55" ht="17" thickBot="1" x14ac:dyDescent="0.25">
      <c r="A26" s="7"/>
      <c r="B26" s="1" t="s">
        <v>18</v>
      </c>
      <c r="C26" s="1">
        <v>1</v>
      </c>
      <c r="G26" s="5"/>
      <c r="H26" s="5" t="s">
        <v>18</v>
      </c>
      <c r="I26" s="5">
        <f>46*K26</f>
        <v>5750</v>
      </c>
      <c r="J26" s="5">
        <f>88*K26*1.5</f>
        <v>16500</v>
      </c>
      <c r="K26" s="5">
        <v>125</v>
      </c>
      <c r="L26" s="13">
        <v>5</v>
      </c>
      <c r="M26" s="20">
        <v>1438</v>
      </c>
      <c r="N26" s="13">
        <f t="shared" si="0"/>
        <v>7188</v>
      </c>
      <c r="O26" s="13">
        <f t="shared" si="1"/>
        <v>9312</v>
      </c>
      <c r="Q26" s="70" t="s">
        <v>55</v>
      </c>
      <c r="R26" s="15">
        <f t="shared" ca="1" si="2"/>
        <v>1</v>
      </c>
      <c r="S26" s="15" t="s">
        <v>176</v>
      </c>
      <c r="T26" s="13">
        <v>1</v>
      </c>
    </row>
    <row r="27" spans="1:55" ht="17" thickBot="1" x14ac:dyDescent="0.25">
      <c r="A27" s="7" t="s">
        <v>45</v>
      </c>
      <c r="B27" s="1" t="s">
        <v>12</v>
      </c>
      <c r="C27" s="1">
        <v>0</v>
      </c>
      <c r="G27" s="21" t="s">
        <v>45</v>
      </c>
      <c r="H27" s="5" t="s">
        <v>12</v>
      </c>
      <c r="I27" s="5">
        <f>3.2*K27</f>
        <v>275.2</v>
      </c>
      <c r="J27" s="5">
        <f>7.5*K27*1.5</f>
        <v>967.5</v>
      </c>
      <c r="K27" s="5">
        <v>86</v>
      </c>
      <c r="L27" s="5">
        <v>2</v>
      </c>
      <c r="M27" s="22">
        <v>110</v>
      </c>
      <c r="N27" s="5">
        <f t="shared" si="0"/>
        <v>385.2</v>
      </c>
      <c r="O27" s="13">
        <f t="shared" si="1"/>
        <v>582.29999999999995</v>
      </c>
      <c r="Q27" s="70" t="s">
        <v>60</v>
      </c>
      <c r="R27" s="15">
        <f t="shared" ca="1" si="2"/>
        <v>1</v>
      </c>
      <c r="S27" s="15" t="s">
        <v>176</v>
      </c>
      <c r="T27" s="13">
        <v>1</v>
      </c>
    </row>
    <row r="28" spans="1:55" ht="17" thickBot="1" x14ac:dyDescent="0.25">
      <c r="A28" s="7"/>
      <c r="B28" s="1" t="s">
        <v>13</v>
      </c>
      <c r="C28" s="1">
        <v>0.87259706000000004</v>
      </c>
      <c r="G28" s="14"/>
      <c r="H28" s="14" t="s">
        <v>13</v>
      </c>
      <c r="I28" s="14">
        <f>6.8*K28</f>
        <v>856.8</v>
      </c>
      <c r="J28" s="14">
        <f>14*K28*1.5</f>
        <v>2646</v>
      </c>
      <c r="K28" s="14">
        <f>63*2</f>
        <v>126</v>
      </c>
      <c r="L28" s="28">
        <v>3</v>
      </c>
      <c r="M28" s="29">
        <v>300</v>
      </c>
      <c r="N28" s="28">
        <f t="shared" si="0"/>
        <v>1156.8</v>
      </c>
      <c r="O28" s="28">
        <f t="shared" si="1"/>
        <v>1489.2</v>
      </c>
      <c r="Q28" s="71" t="s">
        <v>65</v>
      </c>
      <c r="R28" s="15">
        <f t="shared" ca="1" si="2"/>
        <v>1</v>
      </c>
      <c r="S28" s="15" t="s">
        <v>176</v>
      </c>
      <c r="T28" s="13">
        <v>1</v>
      </c>
    </row>
    <row r="29" spans="1:55" ht="17" thickBot="1" x14ac:dyDescent="0.25">
      <c r="A29" s="7"/>
      <c r="B29" s="1" t="s">
        <v>14</v>
      </c>
      <c r="C29" s="1">
        <v>0.12740293999999999</v>
      </c>
      <c r="G29" s="5"/>
      <c r="H29" s="5" t="s">
        <v>14</v>
      </c>
      <c r="I29" s="5">
        <f>13*K29</f>
        <v>2028</v>
      </c>
      <c r="J29" s="5">
        <f>24*K29*1.5</f>
        <v>5616</v>
      </c>
      <c r="K29" s="5">
        <f>78*2</f>
        <v>156</v>
      </c>
      <c r="L29" s="13">
        <v>5</v>
      </c>
      <c r="M29" s="20">
        <v>507</v>
      </c>
      <c r="N29" s="13">
        <f t="shared" si="0"/>
        <v>2535</v>
      </c>
      <c r="O29" s="13">
        <f t="shared" si="1"/>
        <v>3081</v>
      </c>
      <c r="Q29" s="71" t="s">
        <v>70</v>
      </c>
      <c r="R29" s="15">
        <f t="shared" ca="1" si="2"/>
        <v>1</v>
      </c>
      <c r="S29" s="15" t="s">
        <v>176</v>
      </c>
      <c r="T29" s="90">
        <v>1</v>
      </c>
    </row>
    <row r="30" spans="1:55" ht="17" thickBot="1" x14ac:dyDescent="0.25">
      <c r="A30" s="7" t="s">
        <v>50</v>
      </c>
      <c r="B30" s="1" t="s">
        <v>16</v>
      </c>
      <c r="C30" s="1">
        <v>0</v>
      </c>
      <c r="G30" s="21" t="s">
        <v>548</v>
      </c>
      <c r="H30" s="5" t="s">
        <v>16</v>
      </c>
      <c r="I30" s="5">
        <f>13*K30</f>
        <v>1157</v>
      </c>
      <c r="J30" s="5">
        <f>28*K30*1.5</f>
        <v>3738</v>
      </c>
      <c r="K30" s="5">
        <v>89</v>
      </c>
      <c r="L30" s="13">
        <v>2</v>
      </c>
      <c r="M30" s="20">
        <v>463</v>
      </c>
      <c r="N30" s="13">
        <f t="shared" si="0"/>
        <v>1620</v>
      </c>
      <c r="O30" s="13">
        <f t="shared" si="1"/>
        <v>2118</v>
      </c>
      <c r="Q30" s="72" t="s">
        <v>75</v>
      </c>
      <c r="R30" s="15">
        <f t="shared" ca="1" si="2"/>
        <v>0</v>
      </c>
      <c r="S30" s="15" t="s">
        <v>176</v>
      </c>
      <c r="T30" s="13">
        <v>1</v>
      </c>
    </row>
    <row r="31" spans="1:55" ht="17" thickBot="1" x14ac:dyDescent="0.25">
      <c r="A31" s="7"/>
      <c r="B31" s="1" t="s">
        <v>17</v>
      </c>
      <c r="C31" s="1">
        <v>0</v>
      </c>
      <c r="G31" s="5"/>
      <c r="H31" s="5" t="s">
        <v>17</v>
      </c>
      <c r="I31" s="5">
        <f>25*K31</f>
        <v>1300</v>
      </c>
      <c r="J31" s="5">
        <f>52*K31*1.5</f>
        <v>4056</v>
      </c>
      <c r="K31" s="5">
        <f>(2600*0.6)/30</f>
        <v>52</v>
      </c>
      <c r="L31" s="13">
        <v>4</v>
      </c>
      <c r="M31" s="20">
        <v>390</v>
      </c>
      <c r="N31" s="13">
        <f t="shared" si="0"/>
        <v>1690</v>
      </c>
      <c r="O31" s="13">
        <f t="shared" si="1"/>
        <v>2366</v>
      </c>
      <c r="Q31" s="72" t="s">
        <v>79</v>
      </c>
      <c r="R31" s="15">
        <f t="shared" ca="1" si="2"/>
        <v>1</v>
      </c>
      <c r="S31" s="15" t="s">
        <v>176</v>
      </c>
      <c r="T31" s="13">
        <v>1</v>
      </c>
    </row>
    <row r="32" spans="1:55" ht="17" thickBot="1" x14ac:dyDescent="0.25">
      <c r="A32" s="7"/>
      <c r="B32" s="1" t="s">
        <v>18</v>
      </c>
      <c r="C32" s="1">
        <v>1</v>
      </c>
      <c r="G32" s="5"/>
      <c r="H32" s="5" t="s">
        <v>18</v>
      </c>
      <c r="I32" s="5">
        <f>46*K32</f>
        <v>5750</v>
      </c>
      <c r="J32" s="5">
        <f>88*K32*1.5</f>
        <v>16500</v>
      </c>
      <c r="K32" s="5">
        <v>125</v>
      </c>
      <c r="L32" s="13">
        <v>5</v>
      </c>
      <c r="M32" s="20">
        <v>1438</v>
      </c>
      <c r="N32" s="13">
        <f t="shared" si="0"/>
        <v>7188</v>
      </c>
      <c r="O32" s="13">
        <f t="shared" si="1"/>
        <v>9312</v>
      </c>
      <c r="Q32" s="72" t="s">
        <v>84</v>
      </c>
      <c r="R32" s="15">
        <f t="shared" ca="1" si="2"/>
        <v>0</v>
      </c>
      <c r="S32" s="15" t="s">
        <v>176</v>
      </c>
      <c r="T32" s="13">
        <v>1</v>
      </c>
    </row>
    <row r="33" spans="1:21" ht="17" thickBot="1" x14ac:dyDescent="0.25">
      <c r="A33" s="7" t="s">
        <v>55</v>
      </c>
      <c r="B33" s="1" t="s">
        <v>12</v>
      </c>
      <c r="C33" s="1">
        <v>0</v>
      </c>
      <c r="G33" s="21" t="s">
        <v>55</v>
      </c>
      <c r="H33" s="5" t="s">
        <v>12</v>
      </c>
      <c r="I33" s="5">
        <f>3.2*K33</f>
        <v>275.2</v>
      </c>
      <c r="J33" s="5">
        <f>7.5*K33*1.5</f>
        <v>967.5</v>
      </c>
      <c r="K33" s="5">
        <v>86</v>
      </c>
      <c r="L33" s="5">
        <v>2</v>
      </c>
      <c r="M33" s="22">
        <v>110</v>
      </c>
      <c r="N33" s="5">
        <f t="shared" si="0"/>
        <v>385.2</v>
      </c>
      <c r="O33" s="13">
        <f t="shared" si="1"/>
        <v>582.29999999999995</v>
      </c>
      <c r="Q33" s="72" t="s">
        <v>89</v>
      </c>
      <c r="R33" s="15">
        <f t="shared" ca="1" si="2"/>
        <v>1</v>
      </c>
      <c r="S33" s="15" t="s">
        <v>176</v>
      </c>
      <c r="T33" s="13">
        <v>1</v>
      </c>
    </row>
    <row r="34" spans="1:21" ht="17" thickBot="1" x14ac:dyDescent="0.25">
      <c r="A34" s="7"/>
      <c r="B34" s="1" t="s">
        <v>13</v>
      </c>
      <c r="C34" s="1">
        <v>0.24689031</v>
      </c>
      <c r="G34" s="14"/>
      <c r="H34" s="14" t="s">
        <v>13</v>
      </c>
      <c r="I34" s="14">
        <f>6.8*K34</f>
        <v>856.8</v>
      </c>
      <c r="J34" s="14">
        <f>14*K34*1.5</f>
        <v>2646</v>
      </c>
      <c r="K34" s="14">
        <f>63*2</f>
        <v>126</v>
      </c>
      <c r="L34" s="28">
        <v>3</v>
      </c>
      <c r="M34" s="29">
        <v>300</v>
      </c>
      <c r="N34" s="28">
        <f t="shared" si="0"/>
        <v>1156.8</v>
      </c>
      <c r="O34" s="28">
        <f t="shared" si="1"/>
        <v>1489.2</v>
      </c>
      <c r="Q34" s="72" t="s">
        <v>94</v>
      </c>
      <c r="R34" s="15">
        <f t="shared" ca="1" si="2"/>
        <v>0</v>
      </c>
      <c r="S34" s="15" t="s">
        <v>176</v>
      </c>
      <c r="T34" s="13">
        <v>1</v>
      </c>
    </row>
    <row r="35" spans="1:21" ht="17" thickBot="1" x14ac:dyDescent="0.25">
      <c r="A35" s="7"/>
      <c r="B35" s="1" t="s">
        <v>14</v>
      </c>
      <c r="C35" s="1">
        <v>0.75310969000000005</v>
      </c>
      <c r="G35" s="5"/>
      <c r="H35" s="5" t="s">
        <v>14</v>
      </c>
      <c r="I35" s="5">
        <f>13*K35</f>
        <v>2028</v>
      </c>
      <c r="J35" s="5">
        <f>24*K35*1.5</f>
        <v>5616</v>
      </c>
      <c r="K35" s="5">
        <f>78*2</f>
        <v>156</v>
      </c>
      <c r="L35" s="13">
        <v>5</v>
      </c>
      <c r="M35" s="20">
        <v>507</v>
      </c>
      <c r="N35" s="13">
        <f t="shared" si="0"/>
        <v>2535</v>
      </c>
      <c r="O35" s="13">
        <f t="shared" si="1"/>
        <v>3081</v>
      </c>
      <c r="Q35" s="72" t="s">
        <v>99</v>
      </c>
      <c r="R35" s="15">
        <f t="shared" ca="1" si="2"/>
        <v>1</v>
      </c>
      <c r="S35" s="15" t="s">
        <v>176</v>
      </c>
      <c r="T35" s="13">
        <v>1</v>
      </c>
    </row>
    <row r="36" spans="1:21" ht="17" thickBot="1" x14ac:dyDescent="0.25">
      <c r="A36" s="7" t="s">
        <v>60</v>
      </c>
      <c r="B36" s="1" t="s">
        <v>16</v>
      </c>
      <c r="C36" s="1">
        <v>0</v>
      </c>
      <c r="G36" s="21" t="s">
        <v>549</v>
      </c>
      <c r="H36" s="5" t="s">
        <v>16</v>
      </c>
      <c r="I36" s="5">
        <f>13*K36</f>
        <v>1157</v>
      </c>
      <c r="J36" s="5">
        <f>28*K36*1.5</f>
        <v>3738</v>
      </c>
      <c r="K36" s="5">
        <v>89</v>
      </c>
      <c r="L36" s="13">
        <v>2</v>
      </c>
      <c r="M36" s="20">
        <v>463</v>
      </c>
      <c r="N36" s="13">
        <f t="shared" si="0"/>
        <v>1620</v>
      </c>
      <c r="O36" s="13">
        <f t="shared" si="1"/>
        <v>2118</v>
      </c>
      <c r="Q36" s="72" t="s">
        <v>104</v>
      </c>
      <c r="R36" s="15">
        <f t="shared" ca="1" si="2"/>
        <v>0</v>
      </c>
      <c r="S36" s="15" t="s">
        <v>176</v>
      </c>
      <c r="T36" s="13">
        <v>1</v>
      </c>
    </row>
    <row r="37" spans="1:21" ht="17" thickBot="1" x14ac:dyDescent="0.25">
      <c r="A37" s="7"/>
      <c r="B37" s="1" t="s">
        <v>17</v>
      </c>
      <c r="C37" s="1">
        <v>0</v>
      </c>
      <c r="G37" s="5"/>
      <c r="H37" s="5" t="s">
        <v>17</v>
      </c>
      <c r="I37" s="5">
        <f>25*K37</f>
        <v>1300</v>
      </c>
      <c r="J37" s="5">
        <f>52*K37*1.5</f>
        <v>4056</v>
      </c>
      <c r="K37" s="5">
        <f>(2600*0.6)/30</f>
        <v>52</v>
      </c>
      <c r="L37" s="13">
        <v>4</v>
      </c>
      <c r="M37" s="20">
        <v>390</v>
      </c>
      <c r="N37" s="13">
        <f t="shared" si="0"/>
        <v>1690</v>
      </c>
      <c r="O37" s="13">
        <f t="shared" si="1"/>
        <v>2366</v>
      </c>
      <c r="Q37" s="72" t="s">
        <v>109</v>
      </c>
      <c r="R37" s="15">
        <f t="shared" ca="1" si="2"/>
        <v>1</v>
      </c>
      <c r="S37" s="15" t="s">
        <v>176</v>
      </c>
      <c r="T37" s="13">
        <v>1</v>
      </c>
    </row>
    <row r="38" spans="1:21" ht="17" thickBot="1" x14ac:dyDescent="0.25">
      <c r="A38" s="7"/>
      <c r="B38" s="1" t="s">
        <v>18</v>
      </c>
      <c r="C38" s="1">
        <v>1</v>
      </c>
      <c r="G38" s="5"/>
      <c r="H38" s="5" t="s">
        <v>18</v>
      </c>
      <c r="I38" s="5">
        <f>46*K38</f>
        <v>5750</v>
      </c>
      <c r="J38" s="5">
        <f>88*K38*1.5</f>
        <v>16500</v>
      </c>
      <c r="K38" s="5">
        <v>125</v>
      </c>
      <c r="L38" s="13">
        <v>5</v>
      </c>
      <c r="M38" s="20">
        <v>1438</v>
      </c>
      <c r="N38" s="13">
        <f t="shared" si="0"/>
        <v>7188</v>
      </c>
      <c r="O38" s="13">
        <f t="shared" si="1"/>
        <v>9312</v>
      </c>
      <c r="Q38" s="72" t="s">
        <v>114</v>
      </c>
      <c r="R38" s="15">
        <f t="shared" ca="1" si="2"/>
        <v>0</v>
      </c>
      <c r="S38" s="15" t="s">
        <v>176</v>
      </c>
      <c r="T38" s="13">
        <v>1</v>
      </c>
    </row>
    <row r="39" spans="1:21" ht="17" thickBot="1" x14ac:dyDescent="0.25">
      <c r="A39" s="52" t="s">
        <v>65</v>
      </c>
      <c r="B39" s="1" t="s">
        <v>20</v>
      </c>
      <c r="C39" s="1">
        <v>0</v>
      </c>
      <c r="G39" s="4" t="s">
        <v>65</v>
      </c>
      <c r="H39" s="5" t="s">
        <v>20</v>
      </c>
      <c r="I39" s="5">
        <f>3.8*K39</f>
        <v>254.6</v>
      </c>
      <c r="J39" s="5">
        <f>8.5*K39*1.5</f>
        <v>854.25</v>
      </c>
      <c r="K39" s="5">
        <v>67</v>
      </c>
      <c r="L39" s="13">
        <v>2</v>
      </c>
      <c r="M39" s="20">
        <v>102</v>
      </c>
      <c r="N39" s="13">
        <f t="shared" si="0"/>
        <v>356.6</v>
      </c>
      <c r="O39" s="13">
        <f t="shared" si="1"/>
        <v>497.65</v>
      </c>
      <c r="Q39" s="72" t="s">
        <v>119</v>
      </c>
      <c r="R39" s="15">
        <f t="shared" ca="1" si="2"/>
        <v>1</v>
      </c>
      <c r="S39" s="15" t="s">
        <v>176</v>
      </c>
      <c r="T39" s="90">
        <v>1</v>
      </c>
    </row>
    <row r="40" spans="1:21" ht="17" thickBot="1" x14ac:dyDescent="0.25">
      <c r="A40" s="52"/>
      <c r="B40" s="1" t="s">
        <v>21</v>
      </c>
      <c r="C40" s="1">
        <v>1</v>
      </c>
      <c r="G40" s="5"/>
      <c r="H40" s="5" t="s">
        <v>21</v>
      </c>
      <c r="I40" s="5">
        <f>7.5*K40</f>
        <v>915</v>
      </c>
      <c r="J40" s="5">
        <f>15.5*K40*1.5</f>
        <v>2836.5</v>
      </c>
      <c r="K40" s="5">
        <v>122</v>
      </c>
      <c r="L40" s="13">
        <v>4</v>
      </c>
      <c r="M40" s="20">
        <v>275</v>
      </c>
      <c r="N40" s="13">
        <f t="shared" si="0"/>
        <v>1190</v>
      </c>
      <c r="O40" s="13">
        <f t="shared" si="1"/>
        <v>1646.5</v>
      </c>
      <c r="Q40" s="73" t="s">
        <v>124</v>
      </c>
      <c r="R40" s="15">
        <f t="shared" ca="1" si="2"/>
        <v>1</v>
      </c>
      <c r="S40" s="15" t="s">
        <v>176</v>
      </c>
      <c r="T40" s="13">
        <v>1</v>
      </c>
    </row>
    <row r="41" spans="1:21" ht="17" thickBot="1" x14ac:dyDescent="0.25">
      <c r="A41" s="52"/>
      <c r="B41" s="1" t="s">
        <v>22</v>
      </c>
      <c r="C41" s="1">
        <v>0</v>
      </c>
      <c r="G41" s="5"/>
      <c r="H41" s="5" t="s">
        <v>22</v>
      </c>
      <c r="I41" s="5">
        <f>14.5*K41</f>
        <v>2494</v>
      </c>
      <c r="J41" s="5">
        <f>26*K41*1.5</f>
        <v>6708</v>
      </c>
      <c r="K41" s="5">
        <v>172</v>
      </c>
      <c r="L41" s="13">
        <v>5</v>
      </c>
      <c r="M41" s="20">
        <v>624</v>
      </c>
      <c r="N41" s="13">
        <f t="shared" si="0"/>
        <v>3118</v>
      </c>
      <c r="O41" s="13">
        <f t="shared" si="1"/>
        <v>3590</v>
      </c>
      <c r="Q41" s="74" t="s">
        <v>130</v>
      </c>
      <c r="R41" s="15">
        <f t="shared" ca="1" si="2"/>
        <v>1</v>
      </c>
      <c r="S41" s="15" t="s">
        <v>176</v>
      </c>
      <c r="T41" s="13">
        <v>1</v>
      </c>
    </row>
    <row r="42" spans="1:21" ht="17" thickBot="1" x14ac:dyDescent="0.25">
      <c r="A42" s="52" t="s">
        <v>70</v>
      </c>
      <c r="B42" s="1" t="s">
        <v>24</v>
      </c>
      <c r="C42" s="1">
        <v>0</v>
      </c>
      <c r="G42" s="4" t="s">
        <v>70</v>
      </c>
      <c r="H42" s="5" t="s">
        <v>24</v>
      </c>
      <c r="I42" s="5">
        <f>15*K42</f>
        <v>840</v>
      </c>
      <c r="J42" s="5">
        <f>32*K42*1.5</f>
        <v>2688</v>
      </c>
      <c r="K42" s="5">
        <v>56</v>
      </c>
      <c r="L42" s="13">
        <v>2</v>
      </c>
      <c r="M42" s="20">
        <v>336</v>
      </c>
      <c r="N42" s="13">
        <f>I42+M42</f>
        <v>1176</v>
      </c>
      <c r="O42" s="13">
        <f>J42-N42</f>
        <v>1512</v>
      </c>
      <c r="Q42" s="75" t="s">
        <v>134</v>
      </c>
      <c r="R42" s="15">
        <f t="shared" ca="1" si="2"/>
        <v>1</v>
      </c>
      <c r="S42" s="15" t="s">
        <v>176</v>
      </c>
      <c r="T42" s="13">
        <v>1</v>
      </c>
      <c r="U42" s="54"/>
    </row>
    <row r="43" spans="1:21" ht="17" thickBot="1" x14ac:dyDescent="0.25">
      <c r="A43" s="52"/>
      <c r="B43" s="1" t="s">
        <v>25</v>
      </c>
      <c r="C43" s="1">
        <v>0</v>
      </c>
      <c r="G43" s="5"/>
      <c r="H43" s="5" t="s">
        <v>25</v>
      </c>
      <c r="I43" s="5">
        <f>28*K43</f>
        <v>3108</v>
      </c>
      <c r="J43" s="5">
        <f>58*K43*1.5</f>
        <v>9657</v>
      </c>
      <c r="K43" s="5">
        <v>111</v>
      </c>
      <c r="L43" s="13">
        <v>4</v>
      </c>
      <c r="M43" s="20">
        <v>932</v>
      </c>
      <c r="N43" s="13">
        <f>I43+M43</f>
        <v>4040</v>
      </c>
      <c r="O43" s="13">
        <f>J43-N43</f>
        <v>5617</v>
      </c>
      <c r="Q43" s="76" t="s">
        <v>139</v>
      </c>
      <c r="R43" s="15">
        <f t="shared" ca="1" si="2"/>
        <v>1</v>
      </c>
      <c r="S43" s="15" t="s">
        <v>176</v>
      </c>
      <c r="T43" s="13">
        <v>1</v>
      </c>
    </row>
    <row r="44" spans="1:21" ht="17" thickBot="1" x14ac:dyDescent="0.25">
      <c r="A44" s="52"/>
      <c r="B44" s="1" t="s">
        <v>26</v>
      </c>
      <c r="C44" s="1">
        <v>1</v>
      </c>
      <c r="G44" s="5"/>
      <c r="H44" s="5" t="s">
        <v>26</v>
      </c>
      <c r="I44" s="5">
        <f>52*K44</f>
        <v>8216</v>
      </c>
      <c r="J44" s="5">
        <f>98*K44*1.5</f>
        <v>23226</v>
      </c>
      <c r="K44" s="5">
        <v>158</v>
      </c>
      <c r="L44" s="13">
        <v>5</v>
      </c>
      <c r="M44" s="20">
        <v>2054</v>
      </c>
      <c r="N44" s="13">
        <f>I44+M44</f>
        <v>10270</v>
      </c>
      <c r="O44" s="13">
        <f>J44-N44</f>
        <v>12956</v>
      </c>
      <c r="Q44" s="75" t="s">
        <v>142</v>
      </c>
      <c r="R44" s="15">
        <f t="shared" ca="1" si="2"/>
        <v>1</v>
      </c>
      <c r="S44" s="15" t="s">
        <v>176</v>
      </c>
      <c r="T44" s="13">
        <v>1</v>
      </c>
      <c r="U44" s="54"/>
    </row>
    <row r="45" spans="1:21" ht="17" thickBot="1" x14ac:dyDescent="0.25">
      <c r="A45" s="52" t="s">
        <v>75</v>
      </c>
      <c r="B45" s="1" t="s">
        <v>20</v>
      </c>
      <c r="C45" s="1">
        <v>0</v>
      </c>
      <c r="G45" s="4" t="s">
        <v>75</v>
      </c>
      <c r="H45" s="42" t="s">
        <v>20</v>
      </c>
      <c r="I45" s="42">
        <v>254.6</v>
      </c>
      <c r="J45" s="42">
        <f>569.5*1.5</f>
        <v>854.25</v>
      </c>
      <c r="K45" s="42">
        <v>67</v>
      </c>
      <c r="L45" s="43">
        <v>2</v>
      </c>
      <c r="M45" s="44">
        <v>102</v>
      </c>
      <c r="N45" s="45">
        <v>356.6</v>
      </c>
      <c r="O45" s="45">
        <v>212.9</v>
      </c>
      <c r="P45" s="54"/>
      <c r="Q45" s="75" t="s">
        <v>145</v>
      </c>
      <c r="R45" s="15">
        <f t="shared" ca="1" si="2"/>
        <v>1</v>
      </c>
      <c r="S45" s="15" t="s">
        <v>176</v>
      </c>
      <c r="T45" s="90">
        <v>1</v>
      </c>
      <c r="U45" s="54"/>
    </row>
    <row r="46" spans="1:21" ht="17" thickBot="1" x14ac:dyDescent="0.25">
      <c r="A46" s="52"/>
      <c r="B46" s="1" t="s">
        <v>21</v>
      </c>
      <c r="C46" s="1">
        <v>0</v>
      </c>
      <c r="G46" s="47"/>
      <c r="H46" s="48" t="s">
        <v>21</v>
      </c>
      <c r="I46" s="48">
        <v>915</v>
      </c>
      <c r="J46" s="48">
        <f>1891*1.5</f>
        <v>2836.5</v>
      </c>
      <c r="K46" s="48">
        <v>122</v>
      </c>
      <c r="L46" s="49">
        <v>4</v>
      </c>
      <c r="M46" s="50">
        <v>275</v>
      </c>
      <c r="N46" s="51">
        <v>1190</v>
      </c>
      <c r="O46" s="51">
        <v>701</v>
      </c>
      <c r="P46" s="54"/>
      <c r="Q46" s="77" t="s">
        <v>146</v>
      </c>
      <c r="R46" s="15">
        <f t="shared" ca="1" si="2"/>
        <v>1</v>
      </c>
      <c r="S46" s="15" t="s">
        <v>176</v>
      </c>
      <c r="T46" s="13">
        <v>1</v>
      </c>
    </row>
    <row r="47" spans="1:21" ht="17" thickBot="1" x14ac:dyDescent="0.25">
      <c r="A47" s="52"/>
      <c r="B47" s="1" t="s">
        <v>22</v>
      </c>
      <c r="C47" s="1">
        <v>0</v>
      </c>
      <c r="G47" s="47"/>
      <c r="H47" s="48" t="s">
        <v>22</v>
      </c>
      <c r="I47" s="48">
        <v>2494</v>
      </c>
      <c r="J47" s="48">
        <f>4472*1.5</f>
        <v>6708</v>
      </c>
      <c r="K47" s="48">
        <v>172</v>
      </c>
      <c r="L47" s="49">
        <v>5</v>
      </c>
      <c r="M47" s="50">
        <v>624</v>
      </c>
      <c r="N47" s="51">
        <v>3118</v>
      </c>
      <c r="O47" s="51">
        <v>1354</v>
      </c>
      <c r="P47" s="54"/>
      <c r="Q47" s="77" t="s">
        <v>147</v>
      </c>
      <c r="R47" s="15">
        <f t="shared" ca="1" si="2"/>
        <v>1</v>
      </c>
      <c r="S47" s="15" t="s">
        <v>176</v>
      </c>
      <c r="T47" s="13">
        <v>1</v>
      </c>
    </row>
    <row r="48" spans="1:21" ht="17" thickBot="1" x14ac:dyDescent="0.25">
      <c r="A48" s="52" t="s">
        <v>79</v>
      </c>
      <c r="B48" s="1" t="s">
        <v>24</v>
      </c>
      <c r="C48" s="1">
        <v>0</v>
      </c>
      <c r="G48" s="4" t="s">
        <v>79</v>
      </c>
      <c r="H48" s="5" t="s">
        <v>24</v>
      </c>
      <c r="I48" s="5">
        <f>15*K48</f>
        <v>840</v>
      </c>
      <c r="J48" s="5">
        <f>32*K48*1.5</f>
        <v>2688</v>
      </c>
      <c r="K48" s="5">
        <v>56</v>
      </c>
      <c r="L48" s="13">
        <v>2</v>
      </c>
      <c r="M48" s="20">
        <v>336</v>
      </c>
      <c r="N48" s="13">
        <f>I48+M48</f>
        <v>1176</v>
      </c>
      <c r="O48" s="13">
        <f>J48-N48</f>
        <v>1512</v>
      </c>
      <c r="Q48" s="77" t="s">
        <v>148</v>
      </c>
      <c r="R48" s="15">
        <f t="shared" ca="1" si="2"/>
        <v>1</v>
      </c>
      <c r="S48" s="15" t="s">
        <v>176</v>
      </c>
      <c r="T48" s="13">
        <v>1</v>
      </c>
    </row>
    <row r="49" spans="1:20" ht="17" thickBot="1" x14ac:dyDescent="0.25">
      <c r="A49" s="52"/>
      <c r="B49" s="1" t="s">
        <v>25</v>
      </c>
      <c r="C49" s="1">
        <v>0</v>
      </c>
      <c r="G49" s="5"/>
      <c r="H49" s="5" t="s">
        <v>25</v>
      </c>
      <c r="I49" s="5">
        <f>28*K49</f>
        <v>3108</v>
      </c>
      <c r="J49" s="5">
        <f>58*K49*1.5</f>
        <v>9657</v>
      </c>
      <c r="K49" s="5">
        <v>111</v>
      </c>
      <c r="L49" s="13">
        <v>4</v>
      </c>
      <c r="M49" s="20">
        <v>932</v>
      </c>
      <c r="N49" s="13">
        <f>I49+M49</f>
        <v>4040</v>
      </c>
      <c r="O49" s="13">
        <f>J49-N49</f>
        <v>5617</v>
      </c>
      <c r="Q49" s="77" t="s">
        <v>149</v>
      </c>
      <c r="R49" s="15">
        <f t="shared" ca="1" si="2"/>
        <v>1</v>
      </c>
      <c r="S49" s="15" t="s">
        <v>176</v>
      </c>
      <c r="T49" s="13">
        <v>1</v>
      </c>
    </row>
    <row r="50" spans="1:20" ht="17" thickBot="1" x14ac:dyDescent="0.25">
      <c r="A50" s="52"/>
      <c r="B50" s="1" t="s">
        <v>26</v>
      </c>
      <c r="C50" s="1">
        <v>1</v>
      </c>
      <c r="G50" s="5"/>
      <c r="H50" s="5" t="s">
        <v>26</v>
      </c>
      <c r="I50" s="5">
        <f>52*K50</f>
        <v>8216</v>
      </c>
      <c r="J50" s="5">
        <f>98*K50*1.5</f>
        <v>23226</v>
      </c>
      <c r="K50" s="5">
        <v>158</v>
      </c>
      <c r="L50" s="13">
        <v>5</v>
      </c>
      <c r="M50" s="20">
        <v>2054</v>
      </c>
      <c r="N50" s="13">
        <f>I50+M50</f>
        <v>10270</v>
      </c>
      <c r="O50" s="13">
        <f>J50-N50</f>
        <v>12956</v>
      </c>
      <c r="Q50" s="77" t="s">
        <v>150</v>
      </c>
      <c r="R50" s="15">
        <f t="shared" ca="1" si="2"/>
        <v>1</v>
      </c>
      <c r="S50" s="15" t="s">
        <v>176</v>
      </c>
      <c r="T50" s="13">
        <v>1</v>
      </c>
    </row>
    <row r="51" spans="1:20" ht="17" thickBot="1" x14ac:dyDescent="0.25">
      <c r="A51" s="52" t="s">
        <v>84</v>
      </c>
      <c r="B51" s="1" t="s">
        <v>20</v>
      </c>
      <c r="C51" s="1">
        <v>0</v>
      </c>
      <c r="G51" s="4" t="s">
        <v>84</v>
      </c>
      <c r="H51" s="42" t="s">
        <v>20</v>
      </c>
      <c r="I51" s="42">
        <v>254.6</v>
      </c>
      <c r="J51" s="42">
        <f>569.5*1.5</f>
        <v>854.25</v>
      </c>
      <c r="K51" s="42">
        <v>67</v>
      </c>
      <c r="L51" s="43">
        <v>2</v>
      </c>
      <c r="M51" s="44">
        <v>102</v>
      </c>
      <c r="N51" s="45">
        <v>356.6</v>
      </c>
      <c r="O51" s="45">
        <v>212.9</v>
      </c>
      <c r="P51" s="54"/>
      <c r="Q51" s="77" t="s">
        <v>151</v>
      </c>
      <c r="R51" s="15">
        <f t="shared" ca="1" si="2"/>
        <v>1</v>
      </c>
      <c r="S51" s="15" t="s">
        <v>176</v>
      </c>
      <c r="T51" s="13">
        <v>1</v>
      </c>
    </row>
    <row r="52" spans="1:20" ht="17" thickBot="1" x14ac:dyDescent="0.25">
      <c r="A52" s="52"/>
      <c r="B52" s="1" t="s">
        <v>21</v>
      </c>
      <c r="C52" s="1">
        <v>0</v>
      </c>
      <c r="G52" s="47"/>
      <c r="H52" s="48" t="s">
        <v>21</v>
      </c>
      <c r="I52" s="48">
        <v>915</v>
      </c>
      <c r="J52" s="48">
        <f>1891*1.5</f>
        <v>2836.5</v>
      </c>
      <c r="K52" s="48">
        <v>122</v>
      </c>
      <c r="L52" s="49">
        <v>4</v>
      </c>
      <c r="M52" s="50">
        <v>275</v>
      </c>
      <c r="N52" s="51">
        <v>1190</v>
      </c>
      <c r="O52" s="51">
        <v>701</v>
      </c>
      <c r="P52" s="54"/>
      <c r="Q52" s="77" t="s">
        <v>152</v>
      </c>
      <c r="R52" s="15">
        <f t="shared" ca="1" si="2"/>
        <v>1</v>
      </c>
      <c r="S52" s="15" t="s">
        <v>176</v>
      </c>
      <c r="T52" s="13">
        <v>1</v>
      </c>
    </row>
    <row r="53" spans="1:20" x14ac:dyDescent="0.2">
      <c r="A53" s="52"/>
      <c r="B53" s="1" t="s">
        <v>22</v>
      </c>
      <c r="C53" s="1">
        <v>0</v>
      </c>
      <c r="G53" s="47"/>
      <c r="H53" s="48" t="s">
        <v>22</v>
      </c>
      <c r="I53" s="48">
        <v>2494</v>
      </c>
      <c r="J53" s="48">
        <f>4472*1.5</f>
        <v>6708</v>
      </c>
      <c r="K53" s="48">
        <v>172</v>
      </c>
      <c r="L53" s="49">
        <v>5</v>
      </c>
      <c r="M53" s="50">
        <v>624</v>
      </c>
      <c r="N53" s="51">
        <v>3118</v>
      </c>
      <c r="O53" s="51">
        <v>1354</v>
      </c>
      <c r="P53" s="54"/>
      <c r="Q53" s="78" t="s">
        <v>153</v>
      </c>
      <c r="R53" s="15">
        <f t="shared" ca="1" si="2"/>
        <v>1</v>
      </c>
      <c r="S53" s="15" t="s">
        <v>176</v>
      </c>
      <c r="T53" s="90">
        <v>1</v>
      </c>
    </row>
    <row r="54" spans="1:20" x14ac:dyDescent="0.2">
      <c r="A54" s="52" t="s">
        <v>89</v>
      </c>
      <c r="B54" s="1" t="s">
        <v>24</v>
      </c>
      <c r="C54" s="1">
        <v>0</v>
      </c>
      <c r="G54" s="4" t="s">
        <v>89</v>
      </c>
      <c r="H54" s="5" t="s">
        <v>24</v>
      </c>
      <c r="I54" s="5">
        <f>15*K54</f>
        <v>840</v>
      </c>
      <c r="J54" s="5">
        <f>32*K54*1.5</f>
        <v>2688</v>
      </c>
      <c r="K54" s="5">
        <v>56</v>
      </c>
      <c r="L54" s="13">
        <v>2</v>
      </c>
      <c r="M54" s="20">
        <v>336</v>
      </c>
      <c r="N54" s="13">
        <f>I54+M54</f>
        <v>1176</v>
      </c>
      <c r="O54" s="13">
        <f>J54-N54</f>
        <v>1512</v>
      </c>
      <c r="Q54" s="18"/>
      <c r="R54" s="18"/>
      <c r="S54" s="17"/>
      <c r="T54" s="91"/>
    </row>
    <row r="55" spans="1:20" x14ac:dyDescent="0.2">
      <c r="A55" s="52"/>
      <c r="B55" s="1" t="s">
        <v>25</v>
      </c>
      <c r="C55" s="1">
        <v>0.10768538</v>
      </c>
      <c r="G55" s="5"/>
      <c r="H55" s="5" t="s">
        <v>25</v>
      </c>
      <c r="I55" s="5">
        <f>28*K55</f>
        <v>3108</v>
      </c>
      <c r="J55" s="5">
        <f>58*K55*1.5</f>
        <v>9657</v>
      </c>
      <c r="K55" s="5">
        <v>111</v>
      </c>
      <c r="L55" s="13">
        <v>4</v>
      </c>
      <c r="M55" s="20">
        <v>932</v>
      </c>
      <c r="N55" s="13">
        <f>I55+M55</f>
        <v>4040</v>
      </c>
      <c r="O55" s="13">
        <f>J55-N55</f>
        <v>5617</v>
      </c>
      <c r="Q55" s="16" t="s">
        <v>154</v>
      </c>
      <c r="R55" s="5">
        <f>SUMPRODUCT(C3:C8,O3:O8)+SUMPRODUCT(C117:C119,O117:O119)</f>
        <v>15270.299999699999</v>
      </c>
      <c r="S55" s="5" t="s">
        <v>155</v>
      </c>
      <c r="T55" s="5">
        <v>12000</v>
      </c>
    </row>
    <row r="56" spans="1:20" x14ac:dyDescent="0.2">
      <c r="A56" s="52"/>
      <c r="B56" s="1" t="s">
        <v>26</v>
      </c>
      <c r="C56" s="1">
        <v>0.89231461999999995</v>
      </c>
      <c r="G56" s="5"/>
      <c r="H56" s="5" t="s">
        <v>26</v>
      </c>
      <c r="I56" s="5">
        <f>52*K56</f>
        <v>8216</v>
      </c>
      <c r="J56" s="5">
        <f>98*K56*1.5</f>
        <v>23226</v>
      </c>
      <c r="K56" s="5">
        <v>158</v>
      </c>
      <c r="L56" s="13">
        <v>5</v>
      </c>
      <c r="M56" s="20">
        <v>2054</v>
      </c>
      <c r="N56" s="13">
        <f>I56+M56</f>
        <v>10270</v>
      </c>
      <c r="O56" s="13">
        <f>J56-N56</f>
        <v>12956</v>
      </c>
      <c r="Q56" s="16" t="s">
        <v>156</v>
      </c>
      <c r="R56" s="5">
        <f>SUMPRODUCT(C9:C14,O9:O14)+SUMPRODUCT(C120:C122,O120:O122)</f>
        <v>12000.000004542</v>
      </c>
      <c r="S56" s="5" t="s">
        <v>155</v>
      </c>
      <c r="T56" s="5">
        <v>12000</v>
      </c>
    </row>
    <row r="57" spans="1:20" x14ac:dyDescent="0.2">
      <c r="A57" s="52" t="s">
        <v>94</v>
      </c>
      <c r="B57" s="1" t="s">
        <v>20</v>
      </c>
      <c r="C57" s="1">
        <v>0</v>
      </c>
      <c r="G57" s="4" t="s">
        <v>94</v>
      </c>
      <c r="H57" s="42" t="s">
        <v>20</v>
      </c>
      <c r="I57" s="42">
        <v>254.6</v>
      </c>
      <c r="J57" s="42">
        <f>569.5*1.5</f>
        <v>854.25</v>
      </c>
      <c r="K57" s="42">
        <v>67</v>
      </c>
      <c r="L57" s="43">
        <v>2</v>
      </c>
      <c r="M57" s="44">
        <v>102</v>
      </c>
      <c r="N57" s="45">
        <v>356.6</v>
      </c>
      <c r="O57" s="45">
        <v>212.9</v>
      </c>
      <c r="P57" s="54"/>
      <c r="Q57" s="16" t="s">
        <v>157</v>
      </c>
      <c r="R57" s="5">
        <f>SUMPRODUCT(C15:C20,O15:O20)+SUMPRODUCT(C123:C125,O123:O125)</f>
        <v>12000.000004542</v>
      </c>
      <c r="S57" s="5" t="s">
        <v>155</v>
      </c>
      <c r="T57" s="5">
        <v>12000</v>
      </c>
    </row>
    <row r="58" spans="1:20" x14ac:dyDescent="0.2">
      <c r="A58" s="52"/>
      <c r="B58" s="1" t="s">
        <v>21</v>
      </c>
      <c r="C58" s="1">
        <v>0</v>
      </c>
      <c r="G58" s="47"/>
      <c r="H58" s="48" t="s">
        <v>21</v>
      </c>
      <c r="I58" s="48">
        <v>915</v>
      </c>
      <c r="J58" s="48">
        <f>1891*1.5</f>
        <v>2836.5</v>
      </c>
      <c r="K58" s="48">
        <v>122</v>
      </c>
      <c r="L58" s="49">
        <v>4</v>
      </c>
      <c r="M58" s="50">
        <v>275</v>
      </c>
      <c r="N58" s="51">
        <v>1190</v>
      </c>
      <c r="O58" s="51">
        <v>701</v>
      </c>
      <c r="P58" s="54"/>
      <c r="Q58" s="16" t="s">
        <v>158</v>
      </c>
      <c r="R58" s="5">
        <f>SUMPRODUCT(C21:C26,O21:O26)+SUMPRODUCT(C126:C128,O126:O128)</f>
        <v>11999.9999988</v>
      </c>
      <c r="S58" s="5" t="s">
        <v>155</v>
      </c>
      <c r="T58" s="5">
        <v>12000</v>
      </c>
    </row>
    <row r="59" spans="1:20" x14ac:dyDescent="0.2">
      <c r="A59" s="52"/>
      <c r="B59" s="1" t="s">
        <v>22</v>
      </c>
      <c r="C59" s="1">
        <v>0</v>
      </c>
      <c r="G59" s="47"/>
      <c r="H59" s="48" t="s">
        <v>22</v>
      </c>
      <c r="I59" s="48">
        <v>2494</v>
      </c>
      <c r="J59" s="48">
        <f>4472*1.5</f>
        <v>6708</v>
      </c>
      <c r="K59" s="48">
        <v>172</v>
      </c>
      <c r="L59" s="49">
        <v>5</v>
      </c>
      <c r="M59" s="50">
        <v>624</v>
      </c>
      <c r="N59" s="51">
        <v>3118</v>
      </c>
      <c r="O59" s="51">
        <v>1354</v>
      </c>
      <c r="P59" s="54"/>
      <c r="Q59" s="16" t="s">
        <v>159</v>
      </c>
      <c r="R59" s="5">
        <f>SUMPRODUCT(C27:C32,O27:O32)+SUMPRODUCT(C129:C131,O129:O131)</f>
        <v>11999.999999891999</v>
      </c>
      <c r="S59" s="5" t="s">
        <v>155</v>
      </c>
      <c r="T59" s="5">
        <v>12000</v>
      </c>
    </row>
    <row r="60" spans="1:20" x14ac:dyDescent="0.2">
      <c r="A60" s="52" t="s">
        <v>99</v>
      </c>
      <c r="B60" s="1" t="s">
        <v>24</v>
      </c>
      <c r="C60" s="1">
        <v>0</v>
      </c>
      <c r="G60" s="4" t="s">
        <v>99</v>
      </c>
      <c r="H60" s="5" t="s">
        <v>24</v>
      </c>
      <c r="I60" s="5">
        <f>15*K60</f>
        <v>840</v>
      </c>
      <c r="J60" s="5">
        <f>32*K60*1.5</f>
        <v>2688</v>
      </c>
      <c r="K60" s="5">
        <v>56</v>
      </c>
      <c r="L60" s="13">
        <v>2</v>
      </c>
      <c r="M60" s="20">
        <v>336</v>
      </c>
      <c r="N60" s="13">
        <f>I60+M60</f>
        <v>1176</v>
      </c>
      <c r="O60" s="13">
        <f>J60-N60</f>
        <v>1512</v>
      </c>
      <c r="Q60" s="16" t="s">
        <v>160</v>
      </c>
      <c r="R60" s="5">
        <f>SUMPRODUCT(C33:C38,O33:O38)+SUMPRODUCT(C132:C134,O132:O134)</f>
        <v>12000.000004542</v>
      </c>
      <c r="S60" s="5" t="s">
        <v>155</v>
      </c>
      <c r="T60" s="5">
        <v>12000</v>
      </c>
    </row>
    <row r="61" spans="1:20" x14ac:dyDescent="0.2">
      <c r="A61" s="52"/>
      <c r="B61" s="1" t="s">
        <v>25</v>
      </c>
      <c r="C61" s="1">
        <v>0</v>
      </c>
      <c r="G61" s="5"/>
      <c r="H61" s="5" t="s">
        <v>25</v>
      </c>
      <c r="I61" s="5">
        <f>28*K61</f>
        <v>3108</v>
      </c>
      <c r="J61" s="5">
        <f>58*K61*1.5</f>
        <v>9657</v>
      </c>
      <c r="K61" s="5">
        <v>111</v>
      </c>
      <c r="L61" s="13">
        <v>4</v>
      </c>
      <c r="M61" s="20">
        <v>932</v>
      </c>
      <c r="N61" s="13">
        <f>I61+M61</f>
        <v>4040</v>
      </c>
      <c r="O61" s="13">
        <f>J61-N61</f>
        <v>5617</v>
      </c>
      <c r="Q61" s="16" t="s">
        <v>161</v>
      </c>
      <c r="R61" s="5">
        <f>SUMPRODUCT(C39:C44,O39:O44)+SUMPRODUCT(C135:C136,O135:O136)</f>
        <v>14602.5</v>
      </c>
      <c r="S61" s="5" t="s">
        <v>155</v>
      </c>
      <c r="T61" s="5">
        <v>12000</v>
      </c>
    </row>
    <row r="62" spans="1:20" x14ac:dyDescent="0.2">
      <c r="A62" s="52"/>
      <c r="B62" s="1" t="s">
        <v>26</v>
      </c>
      <c r="C62" s="1">
        <v>1</v>
      </c>
      <c r="G62" s="5"/>
      <c r="H62" s="5" t="s">
        <v>26</v>
      </c>
      <c r="I62" s="5">
        <f>52*K62</f>
        <v>8216</v>
      </c>
      <c r="J62" s="5">
        <f>98*K62*1.5</f>
        <v>23226</v>
      </c>
      <c r="K62" s="5">
        <v>158</v>
      </c>
      <c r="L62" s="13">
        <v>5</v>
      </c>
      <c r="M62" s="20">
        <v>2054</v>
      </c>
      <c r="N62" s="13">
        <f>I62+M62</f>
        <v>10270</v>
      </c>
      <c r="O62" s="13">
        <f>J62-N62</f>
        <v>12956</v>
      </c>
      <c r="Q62" s="16" t="s">
        <v>162</v>
      </c>
      <c r="R62" s="5">
        <f>SUMPRODUCT(C45:C50,O45:O50)++SUMPRODUCT(C137:C139,O137:O139)</f>
        <v>12956</v>
      </c>
      <c r="S62" s="5" t="s">
        <v>155</v>
      </c>
      <c r="T62" s="5">
        <v>12000</v>
      </c>
    </row>
    <row r="63" spans="1:20" x14ac:dyDescent="0.2">
      <c r="A63" s="52" t="s">
        <v>104</v>
      </c>
      <c r="B63" s="1" t="s">
        <v>20</v>
      </c>
      <c r="C63" s="1">
        <v>0</v>
      </c>
      <c r="G63" s="4" t="s">
        <v>104</v>
      </c>
      <c r="H63" s="42" t="s">
        <v>20</v>
      </c>
      <c r="I63" s="42">
        <v>254.6</v>
      </c>
      <c r="J63" s="42">
        <f>569.5*1.5</f>
        <v>854.25</v>
      </c>
      <c r="K63" s="42">
        <v>67</v>
      </c>
      <c r="L63" s="43">
        <v>2</v>
      </c>
      <c r="M63" s="44">
        <v>102</v>
      </c>
      <c r="N63" s="45">
        <v>356.6</v>
      </c>
      <c r="O63" s="45">
        <v>212.9</v>
      </c>
      <c r="P63" s="54"/>
      <c r="Q63" s="16" t="s">
        <v>163</v>
      </c>
      <c r="R63" s="5">
        <f>SUMPRODUCT(C51:C56,O51:O56)+SUMPRODUCT(C140:C142,O140:O142)</f>
        <v>12165.696996179999</v>
      </c>
      <c r="S63" s="5" t="s">
        <v>155</v>
      </c>
      <c r="T63" s="5">
        <v>12000</v>
      </c>
    </row>
    <row r="64" spans="1:20" x14ac:dyDescent="0.2">
      <c r="A64" s="52"/>
      <c r="B64" s="1" t="s">
        <v>21</v>
      </c>
      <c r="C64" s="1">
        <v>0</v>
      </c>
      <c r="G64" s="47"/>
      <c r="H64" s="48" t="s">
        <v>21</v>
      </c>
      <c r="I64" s="48">
        <v>915</v>
      </c>
      <c r="J64" s="48">
        <f>1891*1.5</f>
        <v>2836.5</v>
      </c>
      <c r="K64" s="48">
        <v>122</v>
      </c>
      <c r="L64" s="49">
        <v>4</v>
      </c>
      <c r="M64" s="50">
        <v>275</v>
      </c>
      <c r="N64" s="51">
        <v>1190</v>
      </c>
      <c r="O64" s="51">
        <v>701</v>
      </c>
      <c r="P64" s="54"/>
      <c r="Q64" s="16" t="s">
        <v>164</v>
      </c>
      <c r="R64" s="5">
        <f>SUMPRODUCT(C63:C68,O63:O68)+SUMPRODUCT(C143:C145,O143:O145)</f>
        <v>11999.999990949998</v>
      </c>
      <c r="S64" s="5" t="s">
        <v>155</v>
      </c>
      <c r="T64" s="5">
        <v>12000</v>
      </c>
    </row>
    <row r="65" spans="1:20" x14ac:dyDescent="0.2">
      <c r="A65" s="52"/>
      <c r="B65" s="1" t="s">
        <v>22</v>
      </c>
      <c r="C65" s="1">
        <v>0</v>
      </c>
      <c r="G65" s="47"/>
      <c r="H65" s="48" t="s">
        <v>22</v>
      </c>
      <c r="I65" s="48">
        <v>2494</v>
      </c>
      <c r="J65" s="48">
        <f>4472*1.5</f>
        <v>6708</v>
      </c>
      <c r="K65" s="48">
        <v>172</v>
      </c>
      <c r="L65" s="49">
        <v>5</v>
      </c>
      <c r="M65" s="50">
        <v>624</v>
      </c>
      <c r="N65" s="51">
        <v>3118</v>
      </c>
      <c r="O65" s="51">
        <v>1354</v>
      </c>
      <c r="P65" s="54"/>
      <c r="Q65" s="16" t="s">
        <v>165</v>
      </c>
      <c r="R65" s="5">
        <f>SUMPRODUCT(C57:C62,O57:O62)+SUMPRODUCT(C146:C148,O146:O148)</f>
        <v>12956</v>
      </c>
      <c r="S65" s="5" t="s">
        <v>155</v>
      </c>
      <c r="T65" s="5">
        <v>12000</v>
      </c>
    </row>
    <row r="66" spans="1:20" x14ac:dyDescent="0.2">
      <c r="A66" s="52" t="s">
        <v>109</v>
      </c>
      <c r="B66" s="1" t="s">
        <v>24</v>
      </c>
      <c r="C66" s="1">
        <v>0</v>
      </c>
      <c r="G66" s="4" t="s">
        <v>109</v>
      </c>
      <c r="H66" s="5" t="s">
        <v>24</v>
      </c>
      <c r="I66" s="5">
        <f>15*K66</f>
        <v>840</v>
      </c>
      <c r="J66" s="5">
        <f>32*K66*1.5</f>
        <v>2688</v>
      </c>
      <c r="K66" s="5">
        <v>56</v>
      </c>
      <c r="L66" s="13">
        <v>2</v>
      </c>
      <c r="M66" s="20">
        <v>336</v>
      </c>
      <c r="N66" s="13">
        <f>I66+M66</f>
        <v>1176</v>
      </c>
      <c r="O66" s="13">
        <f>J66-N66</f>
        <v>1512</v>
      </c>
      <c r="Q66" s="57" t="s">
        <v>166</v>
      </c>
      <c r="R66" s="5">
        <f>SUMPRODUCT(C69:C74,O69:O74)+SUMPRODUCT(C149:C151,O149:O151)</f>
        <v>12956</v>
      </c>
      <c r="S66" s="5" t="s">
        <v>155</v>
      </c>
      <c r="T66" s="5">
        <v>12000</v>
      </c>
    </row>
    <row r="67" spans="1:20" x14ac:dyDescent="0.2">
      <c r="A67" s="52"/>
      <c r="B67" s="1" t="s">
        <v>25</v>
      </c>
      <c r="C67" s="1">
        <v>0.35018395000000002</v>
      </c>
      <c r="G67" s="5"/>
      <c r="H67" s="5" t="s">
        <v>25</v>
      </c>
      <c r="I67" s="5">
        <f>28*K67</f>
        <v>3108</v>
      </c>
      <c r="J67" s="5">
        <f>58*K67*1.5</f>
        <v>9657</v>
      </c>
      <c r="K67" s="5">
        <v>111</v>
      </c>
      <c r="L67" s="13">
        <v>4</v>
      </c>
      <c r="M67" s="20">
        <v>932</v>
      </c>
      <c r="N67" s="13">
        <f>I67+M67</f>
        <v>4040</v>
      </c>
      <c r="O67" s="13">
        <f>J67-N67</f>
        <v>5617</v>
      </c>
      <c r="Q67" s="79" t="s">
        <v>167</v>
      </c>
      <c r="R67" s="5">
        <f>SUMPRODUCT(C75:C80,O75:O80)+SUMPRODUCT(C152:C154,O152:O154)</f>
        <v>12000.00000047</v>
      </c>
      <c r="S67" s="5" t="s">
        <v>155</v>
      </c>
      <c r="T67" s="5">
        <v>12000</v>
      </c>
    </row>
    <row r="68" spans="1:20" x14ac:dyDescent="0.2">
      <c r="A68" s="52"/>
      <c r="B68" s="1" t="s">
        <v>26</v>
      </c>
      <c r="C68" s="1">
        <v>0.64981604999999998</v>
      </c>
      <c r="G68" s="5"/>
      <c r="H68" s="5" t="s">
        <v>26</v>
      </c>
      <c r="I68" s="5">
        <f>52*K68</f>
        <v>8216</v>
      </c>
      <c r="J68" s="5">
        <f>98*K68*1.5</f>
        <v>23226</v>
      </c>
      <c r="K68" s="5">
        <v>158</v>
      </c>
      <c r="L68" s="13">
        <v>5</v>
      </c>
      <c r="M68" s="20">
        <v>2054</v>
      </c>
      <c r="N68" s="13">
        <f>I68+M68</f>
        <v>10270</v>
      </c>
      <c r="O68" s="13">
        <f>J68-N68</f>
        <v>12956</v>
      </c>
      <c r="Q68" s="79" t="s">
        <v>168</v>
      </c>
      <c r="R68" s="5">
        <f>SUMPRODUCT(C81:C86,O81:O86)+SUMPRODUCT(C155:C157,O155:O157)</f>
        <v>12000.000000370001</v>
      </c>
      <c r="S68" s="5" t="s">
        <v>155</v>
      </c>
      <c r="T68" s="5">
        <v>12000</v>
      </c>
    </row>
    <row r="69" spans="1:20" x14ac:dyDescent="0.2">
      <c r="A69" s="52" t="s">
        <v>114</v>
      </c>
      <c r="B69" s="1" t="s">
        <v>20</v>
      </c>
      <c r="C69" s="1">
        <v>0</v>
      </c>
      <c r="G69" s="4" t="s">
        <v>114</v>
      </c>
      <c r="H69" s="42" t="s">
        <v>20</v>
      </c>
      <c r="I69" s="42">
        <v>254.6</v>
      </c>
      <c r="J69" s="42">
        <f>569.5*1.5</f>
        <v>854.25</v>
      </c>
      <c r="K69" s="42">
        <v>67</v>
      </c>
      <c r="L69" s="43">
        <v>2</v>
      </c>
      <c r="M69" s="44">
        <v>102</v>
      </c>
      <c r="N69" s="45">
        <v>356.6</v>
      </c>
      <c r="O69" s="45">
        <v>212.9</v>
      </c>
      <c r="P69" s="54"/>
      <c r="Q69" s="79" t="s">
        <v>169</v>
      </c>
      <c r="R69" s="5">
        <f>SUMPRODUCT(C87:C92,O87:O92)+SUMPRODUCT(C158:C160,O158:O160)</f>
        <v>12000.000003360001</v>
      </c>
      <c r="S69" s="5" t="s">
        <v>155</v>
      </c>
      <c r="T69" s="5">
        <v>12000</v>
      </c>
    </row>
    <row r="70" spans="1:20" x14ac:dyDescent="0.2">
      <c r="A70" s="52"/>
      <c r="B70" s="1" t="s">
        <v>21</v>
      </c>
      <c r="C70" s="1">
        <v>0</v>
      </c>
      <c r="G70" s="47"/>
      <c r="H70" s="48" t="s">
        <v>21</v>
      </c>
      <c r="I70" s="48">
        <v>915</v>
      </c>
      <c r="J70" s="48">
        <f>1891*1.5</f>
        <v>2836.5</v>
      </c>
      <c r="K70" s="48">
        <v>122</v>
      </c>
      <c r="L70" s="49">
        <v>4</v>
      </c>
      <c r="M70" s="50">
        <v>275</v>
      </c>
      <c r="N70" s="51">
        <v>1190</v>
      </c>
      <c r="O70" s="51">
        <v>701</v>
      </c>
      <c r="P70" s="54"/>
      <c r="Q70" s="79" t="s">
        <v>170</v>
      </c>
      <c r="R70" s="5">
        <f>SUMPRODUCT(C93:C98,O93:O98)+SUMPRODUCT(C161:C163,O161:O163)</f>
        <v>12855</v>
      </c>
      <c r="S70" s="5" t="s">
        <v>155</v>
      </c>
      <c r="T70" s="5">
        <v>12000</v>
      </c>
    </row>
    <row r="71" spans="1:20" x14ac:dyDescent="0.2">
      <c r="A71" s="52"/>
      <c r="B71" s="1" t="s">
        <v>22</v>
      </c>
      <c r="C71" s="1">
        <v>0</v>
      </c>
      <c r="G71" s="47"/>
      <c r="H71" s="48" t="s">
        <v>22</v>
      </c>
      <c r="I71" s="48">
        <v>2494</v>
      </c>
      <c r="J71" s="48">
        <f>4472*1.5</f>
        <v>6708</v>
      </c>
      <c r="K71" s="48">
        <v>172</v>
      </c>
      <c r="L71" s="49">
        <v>5</v>
      </c>
      <c r="M71" s="50">
        <v>624</v>
      </c>
      <c r="N71" s="51">
        <v>3118</v>
      </c>
      <c r="O71" s="51">
        <v>1354</v>
      </c>
      <c r="P71" s="54"/>
      <c r="Q71" s="79" t="s">
        <v>171</v>
      </c>
      <c r="R71" s="5">
        <f>SUMPRODUCT(C103:C108,O103:O108)++SUMPRODUCT(C164:C165,O164:O165)</f>
        <v>12855</v>
      </c>
      <c r="S71" s="5" t="s">
        <v>155</v>
      </c>
      <c r="T71" s="5">
        <v>12000</v>
      </c>
    </row>
    <row r="72" spans="1:20" x14ac:dyDescent="0.2">
      <c r="A72" s="52" t="s">
        <v>119</v>
      </c>
      <c r="B72" s="1" t="s">
        <v>24</v>
      </c>
      <c r="C72" s="1">
        <v>0</v>
      </c>
      <c r="G72" s="4" t="s">
        <v>119</v>
      </c>
      <c r="H72" s="5" t="s">
        <v>24</v>
      </c>
      <c r="I72" s="5">
        <f>15*K72</f>
        <v>840</v>
      </c>
      <c r="J72" s="5">
        <f>32*K72*1.5</f>
        <v>2688</v>
      </c>
      <c r="K72" s="5">
        <v>56</v>
      </c>
      <c r="L72" s="13">
        <v>2</v>
      </c>
      <c r="M72" s="20">
        <v>336</v>
      </c>
      <c r="N72" s="13">
        <f t="shared" ref="N72:N116" si="5">I72+M72</f>
        <v>1176</v>
      </c>
      <c r="O72" s="13">
        <f t="shared" ref="O72:O116" si="6">J72-N72</f>
        <v>1512</v>
      </c>
      <c r="Q72" s="79" t="s">
        <v>172</v>
      </c>
      <c r="R72" s="5">
        <f>SUMPRODUCT(C109:C114,O109:O114)+SUMPRODUCT(C166:C169,O166:O169)</f>
        <v>12855</v>
      </c>
      <c r="S72" s="5" t="s">
        <v>155</v>
      </c>
      <c r="T72" s="5">
        <v>12000</v>
      </c>
    </row>
    <row r="73" spans="1:20" x14ac:dyDescent="0.2">
      <c r="A73" s="52"/>
      <c r="B73" s="1" t="s">
        <v>25</v>
      </c>
      <c r="C73" s="1">
        <v>0</v>
      </c>
      <c r="G73" s="5"/>
      <c r="H73" s="5" t="s">
        <v>25</v>
      </c>
      <c r="I73" s="5">
        <f>28*K73</f>
        <v>3108</v>
      </c>
      <c r="J73" s="5">
        <f>58*K73*1.5</f>
        <v>9657</v>
      </c>
      <c r="K73" s="5">
        <v>111</v>
      </c>
      <c r="L73" s="13">
        <v>4</v>
      </c>
      <c r="M73" s="20">
        <v>932</v>
      </c>
      <c r="N73" s="13">
        <f t="shared" si="5"/>
        <v>4040</v>
      </c>
      <c r="O73" s="13">
        <f t="shared" si="6"/>
        <v>5617</v>
      </c>
      <c r="Q73" s="79" t="s">
        <v>173</v>
      </c>
      <c r="R73" s="5">
        <f>SUMPRODUCT(C115:C120,O115:O120)+SUMPRODUCT(C170:C172,O170:O172)</f>
        <v>11999.9999997</v>
      </c>
      <c r="S73" s="5" t="s">
        <v>155</v>
      </c>
      <c r="T73" s="5">
        <v>12000</v>
      </c>
    </row>
    <row r="74" spans="1:20" x14ac:dyDescent="0.2">
      <c r="A74" s="52"/>
      <c r="B74" s="1" t="s">
        <v>26</v>
      </c>
      <c r="C74" s="1">
        <v>1</v>
      </c>
      <c r="G74" s="5"/>
      <c r="H74" s="5" t="s">
        <v>26</v>
      </c>
      <c r="I74" s="5">
        <f>52*K74</f>
        <v>8216</v>
      </c>
      <c r="J74" s="5">
        <f>98*K74*1.5</f>
        <v>23226</v>
      </c>
      <c r="K74" s="5">
        <v>158</v>
      </c>
      <c r="L74" s="13">
        <v>5</v>
      </c>
      <c r="M74" s="20">
        <v>2054</v>
      </c>
      <c r="N74" s="13">
        <f t="shared" si="5"/>
        <v>10270</v>
      </c>
      <c r="O74" s="13">
        <f t="shared" si="6"/>
        <v>12956</v>
      </c>
      <c r="Q74" s="19" t="s">
        <v>174</v>
      </c>
      <c r="R74" s="19"/>
      <c r="S74" s="19"/>
      <c r="T74" s="19"/>
    </row>
    <row r="75" spans="1:20" x14ac:dyDescent="0.2">
      <c r="A75" s="61" t="s">
        <v>124</v>
      </c>
      <c r="B75" s="1" t="s">
        <v>28</v>
      </c>
      <c r="C75" s="1">
        <v>0</v>
      </c>
      <c r="G75" s="8" t="s">
        <v>124</v>
      </c>
      <c r="H75" s="5" t="s">
        <v>28</v>
      </c>
      <c r="I75" s="5">
        <f>3.5*K75</f>
        <v>185.5</v>
      </c>
      <c r="J75" s="5">
        <f>8*K75*1.5</f>
        <v>636</v>
      </c>
      <c r="K75" s="5">
        <v>53</v>
      </c>
      <c r="L75" s="13">
        <v>2</v>
      </c>
      <c r="M75" s="20">
        <v>74</v>
      </c>
      <c r="N75" s="13">
        <f t="shared" si="5"/>
        <v>259.5</v>
      </c>
      <c r="O75" s="13">
        <f t="shared" si="6"/>
        <v>376.5</v>
      </c>
      <c r="Q75" s="80" t="s">
        <v>175</v>
      </c>
      <c r="R75" s="5">
        <f t="shared" ref="R75:R93" ca="1" si="7">OFFSET($R$16, (ROW()-ROW($R$75))*2, 0) - OFFSET($R$17, (ROW()-ROW($R$75))*2, 0)</f>
        <v>0</v>
      </c>
      <c r="S75" s="16" t="s">
        <v>176</v>
      </c>
      <c r="T75" s="5">
        <v>-2</v>
      </c>
    </row>
    <row r="76" spans="1:20" x14ac:dyDescent="0.2">
      <c r="A76" s="61"/>
      <c r="B76" s="1" t="s">
        <v>29</v>
      </c>
      <c r="C76" s="1">
        <v>0</v>
      </c>
      <c r="G76" s="5"/>
      <c r="H76" s="5" t="s">
        <v>29</v>
      </c>
      <c r="I76" s="5">
        <f>7*K76</f>
        <v>651</v>
      </c>
      <c r="J76" s="5">
        <f>14.5*K76*1.5</f>
        <v>2022.75</v>
      </c>
      <c r="K76" s="5">
        <v>93</v>
      </c>
      <c r="L76" s="13">
        <v>3</v>
      </c>
      <c r="M76" s="20">
        <v>228</v>
      </c>
      <c r="N76" s="13">
        <f t="shared" si="5"/>
        <v>879</v>
      </c>
      <c r="O76" s="13">
        <f t="shared" si="6"/>
        <v>1143.75</v>
      </c>
      <c r="Q76" s="80" t="s">
        <v>177</v>
      </c>
      <c r="R76" s="5">
        <f t="shared" ca="1" si="7"/>
        <v>0</v>
      </c>
      <c r="S76" s="16" t="s">
        <v>176</v>
      </c>
      <c r="T76" s="5">
        <v>-2</v>
      </c>
    </row>
    <row r="77" spans="1:20" x14ac:dyDescent="0.2">
      <c r="A77" s="61"/>
      <c r="B77" s="1" t="s">
        <v>30</v>
      </c>
      <c r="C77" s="1">
        <v>1</v>
      </c>
      <c r="G77" s="5"/>
      <c r="H77" s="5" t="s">
        <v>30</v>
      </c>
      <c r="I77" s="5">
        <f>13.5*K77</f>
        <v>1498.5</v>
      </c>
      <c r="J77" s="5">
        <f>25*K77*1.5</f>
        <v>4162.5</v>
      </c>
      <c r="K77" s="5">
        <v>111</v>
      </c>
      <c r="L77" s="13">
        <v>5</v>
      </c>
      <c r="M77" s="20">
        <v>375</v>
      </c>
      <c r="N77" s="13">
        <f t="shared" si="5"/>
        <v>1873.5</v>
      </c>
      <c r="O77" s="13">
        <f t="shared" si="6"/>
        <v>2289</v>
      </c>
      <c r="Q77" s="80" t="s">
        <v>178</v>
      </c>
      <c r="R77" s="5">
        <f t="shared" ca="1" si="7"/>
        <v>0</v>
      </c>
      <c r="S77" s="16" t="s">
        <v>176</v>
      </c>
      <c r="T77" s="5">
        <v>-2</v>
      </c>
    </row>
    <row r="78" spans="1:20" x14ac:dyDescent="0.2">
      <c r="A78" s="61" t="s">
        <v>130</v>
      </c>
      <c r="B78" s="1" t="s">
        <v>32</v>
      </c>
      <c r="C78" s="1">
        <v>0</v>
      </c>
      <c r="G78" s="9" t="s">
        <v>130</v>
      </c>
      <c r="H78" s="5" t="s">
        <v>32</v>
      </c>
      <c r="I78" s="5">
        <f>14*K78</f>
        <v>560</v>
      </c>
      <c r="J78" s="5">
        <f>30*K78*1.5</f>
        <v>1800</v>
      </c>
      <c r="K78" s="5">
        <v>40</v>
      </c>
      <c r="L78" s="13">
        <v>2</v>
      </c>
      <c r="M78" s="20">
        <v>224</v>
      </c>
      <c r="N78" s="13">
        <f t="shared" si="5"/>
        <v>784</v>
      </c>
      <c r="O78" s="13">
        <f t="shared" si="6"/>
        <v>1016</v>
      </c>
      <c r="Q78" s="80" t="s">
        <v>179</v>
      </c>
      <c r="R78" s="5">
        <f t="shared" ca="1" si="7"/>
        <v>0</v>
      </c>
      <c r="S78" s="5" t="s">
        <v>176</v>
      </c>
      <c r="T78" s="5">
        <v>-2</v>
      </c>
    </row>
    <row r="79" spans="1:20" x14ac:dyDescent="0.2">
      <c r="A79" s="61"/>
      <c r="B79" s="1" t="s">
        <v>33</v>
      </c>
      <c r="C79" s="1">
        <v>0</v>
      </c>
      <c r="G79" s="5"/>
      <c r="H79" s="5" t="s">
        <v>33</v>
      </c>
      <c r="I79" s="5">
        <f>26*K79</f>
        <v>2080</v>
      </c>
      <c r="J79" s="5">
        <f>54*K79*1.5</f>
        <v>6480</v>
      </c>
      <c r="K79" s="5">
        <v>80</v>
      </c>
      <c r="L79" s="13">
        <v>4</v>
      </c>
      <c r="M79" s="20">
        <v>624</v>
      </c>
      <c r="N79" s="13">
        <f t="shared" si="5"/>
        <v>2704</v>
      </c>
      <c r="O79" s="13">
        <f t="shared" si="6"/>
        <v>3776</v>
      </c>
      <c r="Q79" s="80" t="s">
        <v>180</v>
      </c>
      <c r="R79" s="5">
        <f t="shared" ca="1" si="7"/>
        <v>0</v>
      </c>
      <c r="S79" s="5" t="s">
        <v>176</v>
      </c>
      <c r="T79" s="5">
        <v>-2</v>
      </c>
    </row>
    <row r="80" spans="1:20" x14ac:dyDescent="0.2">
      <c r="A80" s="61"/>
      <c r="B80" s="1" t="s">
        <v>34</v>
      </c>
      <c r="C80" s="1">
        <v>1</v>
      </c>
      <c r="G80" s="5"/>
      <c r="H80" s="5" t="s">
        <v>34</v>
      </c>
      <c r="I80" s="5">
        <f>48*K80</f>
        <v>5760</v>
      </c>
      <c r="J80" s="5">
        <f>92*K80*1.5</f>
        <v>16560</v>
      </c>
      <c r="K80" s="5">
        <v>120</v>
      </c>
      <c r="L80" s="13">
        <v>5</v>
      </c>
      <c r="M80" s="20">
        <v>1440</v>
      </c>
      <c r="N80" s="13">
        <f t="shared" si="5"/>
        <v>7200</v>
      </c>
      <c r="O80" s="13">
        <f t="shared" si="6"/>
        <v>9360</v>
      </c>
      <c r="Q80" s="80" t="s">
        <v>181</v>
      </c>
      <c r="R80" s="5">
        <f t="shared" ca="1" si="7"/>
        <v>0</v>
      </c>
      <c r="S80" s="5" t="s">
        <v>176</v>
      </c>
      <c r="T80" s="5">
        <v>-2</v>
      </c>
    </row>
    <row r="81" spans="1:20" x14ac:dyDescent="0.2">
      <c r="A81" s="62" t="s">
        <v>134</v>
      </c>
      <c r="B81" s="63" t="s">
        <v>28</v>
      </c>
      <c r="C81" s="63">
        <v>0</v>
      </c>
      <c r="G81" s="10" t="s">
        <v>134</v>
      </c>
      <c r="H81" s="5" t="s">
        <v>28</v>
      </c>
      <c r="I81" s="5">
        <f>3.5*K81</f>
        <v>185.5</v>
      </c>
      <c r="J81" s="5">
        <f>8*K81*1.5</f>
        <v>636</v>
      </c>
      <c r="K81" s="5">
        <v>53</v>
      </c>
      <c r="L81" s="13">
        <v>2</v>
      </c>
      <c r="M81" s="20">
        <v>74</v>
      </c>
      <c r="N81" s="13">
        <f t="shared" si="5"/>
        <v>259.5</v>
      </c>
      <c r="O81" s="13">
        <f t="shared" si="6"/>
        <v>376.5</v>
      </c>
      <c r="Q81" s="81" t="s">
        <v>182</v>
      </c>
      <c r="R81" s="5">
        <f t="shared" ca="1" si="7"/>
        <v>0</v>
      </c>
      <c r="S81" s="5" t="s">
        <v>176</v>
      </c>
      <c r="T81" s="5">
        <v>-2</v>
      </c>
    </row>
    <row r="82" spans="1:20" x14ac:dyDescent="0.2">
      <c r="A82" s="62"/>
      <c r="B82" s="63" t="s">
        <v>29</v>
      </c>
      <c r="C82" s="63">
        <v>0</v>
      </c>
      <c r="G82" s="5"/>
      <c r="H82" s="5" t="s">
        <v>29</v>
      </c>
      <c r="I82" s="5">
        <f>7*K82</f>
        <v>651</v>
      </c>
      <c r="J82" s="5">
        <f>14.5*K82*1.5</f>
        <v>2022.75</v>
      </c>
      <c r="K82" s="5">
        <v>93</v>
      </c>
      <c r="L82" s="13">
        <v>3</v>
      </c>
      <c r="M82" s="20">
        <v>228</v>
      </c>
      <c r="N82" s="13">
        <f t="shared" si="5"/>
        <v>879</v>
      </c>
      <c r="O82" s="13">
        <f t="shared" si="6"/>
        <v>1143.75</v>
      </c>
      <c r="Q82" s="81" t="s">
        <v>183</v>
      </c>
      <c r="R82" s="5">
        <f t="shared" ca="1" si="7"/>
        <v>-1</v>
      </c>
      <c r="S82" s="5" t="s">
        <v>176</v>
      </c>
      <c r="T82" s="5">
        <v>-2</v>
      </c>
    </row>
    <row r="83" spans="1:20" x14ac:dyDescent="0.2">
      <c r="A83" s="62"/>
      <c r="B83" s="63" t="s">
        <v>30</v>
      </c>
      <c r="C83" s="63">
        <v>1</v>
      </c>
      <c r="G83" s="5"/>
      <c r="H83" s="5" t="s">
        <v>30</v>
      </c>
      <c r="I83" s="5">
        <f>13.5*K83</f>
        <v>1498.5</v>
      </c>
      <c r="J83" s="5">
        <f>25*K83*1.5</f>
        <v>4162.5</v>
      </c>
      <c r="K83" s="5">
        <v>111</v>
      </c>
      <c r="L83" s="13">
        <v>5</v>
      </c>
      <c r="M83" s="20">
        <v>375</v>
      </c>
      <c r="N83" s="13">
        <f t="shared" si="5"/>
        <v>1873.5</v>
      </c>
      <c r="O83" s="13">
        <f t="shared" si="6"/>
        <v>2289</v>
      </c>
      <c r="Q83" s="81" t="s">
        <v>184</v>
      </c>
      <c r="R83" s="5">
        <f t="shared" ca="1" si="7"/>
        <v>-1</v>
      </c>
      <c r="S83" s="5" t="s">
        <v>176</v>
      </c>
      <c r="T83" s="5">
        <v>-2</v>
      </c>
    </row>
    <row r="84" spans="1:20" x14ac:dyDescent="0.2">
      <c r="A84" s="64" t="s">
        <v>139</v>
      </c>
      <c r="B84" s="63" t="s">
        <v>32</v>
      </c>
      <c r="C84" s="63">
        <v>0</v>
      </c>
      <c r="G84" s="11" t="s">
        <v>139</v>
      </c>
      <c r="H84" s="5" t="s">
        <v>32</v>
      </c>
      <c r="I84" s="5">
        <f>14*K84</f>
        <v>560</v>
      </c>
      <c r="J84" s="5">
        <f>30*K84*1.5</f>
        <v>1800</v>
      </c>
      <c r="K84" s="5">
        <v>40</v>
      </c>
      <c r="L84" s="13">
        <v>2</v>
      </c>
      <c r="M84" s="20">
        <v>224</v>
      </c>
      <c r="N84" s="13">
        <f t="shared" si="5"/>
        <v>784</v>
      </c>
      <c r="O84" s="13">
        <f t="shared" si="6"/>
        <v>1016</v>
      </c>
      <c r="Q84" s="81" t="s">
        <v>185</v>
      </c>
      <c r="R84" s="5">
        <f t="shared" ca="1" si="7"/>
        <v>-1</v>
      </c>
      <c r="S84" s="5" t="s">
        <v>176</v>
      </c>
      <c r="T84" s="5">
        <v>-2</v>
      </c>
    </row>
    <row r="85" spans="1:20" x14ac:dyDescent="0.2">
      <c r="A85" s="62"/>
      <c r="B85" s="63" t="s">
        <v>33</v>
      </c>
      <c r="C85" s="63">
        <v>0</v>
      </c>
      <c r="G85" s="5"/>
      <c r="H85" s="5" t="s">
        <v>33</v>
      </c>
      <c r="I85" s="5">
        <f>26*K85</f>
        <v>2080</v>
      </c>
      <c r="J85" s="5">
        <f>54*K85*1.5</f>
        <v>6480</v>
      </c>
      <c r="K85" s="5">
        <v>80</v>
      </c>
      <c r="L85" s="13">
        <v>4</v>
      </c>
      <c r="M85" s="20">
        <v>624</v>
      </c>
      <c r="N85" s="13">
        <f t="shared" si="5"/>
        <v>2704</v>
      </c>
      <c r="O85" s="13">
        <f t="shared" si="6"/>
        <v>3776</v>
      </c>
      <c r="Q85" s="81" t="s">
        <v>186</v>
      </c>
      <c r="R85" s="5">
        <f t="shared" ca="1" si="7"/>
        <v>-1</v>
      </c>
      <c r="S85" s="5" t="s">
        <v>176</v>
      </c>
      <c r="T85" s="5">
        <v>-2</v>
      </c>
    </row>
    <row r="86" spans="1:20" x14ac:dyDescent="0.2">
      <c r="A86" s="62"/>
      <c r="B86" s="63" t="s">
        <v>34</v>
      </c>
      <c r="C86" s="63">
        <v>1</v>
      </c>
      <c r="G86" s="5"/>
      <c r="H86" s="5" t="s">
        <v>34</v>
      </c>
      <c r="I86" s="5">
        <f>48*K86</f>
        <v>5760</v>
      </c>
      <c r="J86" s="5">
        <f>92*K86*1.5</f>
        <v>16560</v>
      </c>
      <c r="K86" s="5">
        <v>120</v>
      </c>
      <c r="L86" s="13">
        <v>5</v>
      </c>
      <c r="M86" s="20">
        <v>1440</v>
      </c>
      <c r="N86" s="13">
        <f t="shared" si="5"/>
        <v>7200</v>
      </c>
      <c r="O86" s="13">
        <f t="shared" si="6"/>
        <v>9360</v>
      </c>
      <c r="Q86" s="81" t="s">
        <v>187</v>
      </c>
      <c r="R86" s="5">
        <f t="shared" ca="1" si="7"/>
        <v>-1</v>
      </c>
      <c r="S86" s="5" t="s">
        <v>176</v>
      </c>
      <c r="T86" s="5">
        <v>-2</v>
      </c>
    </row>
    <row r="87" spans="1:20" x14ac:dyDescent="0.2">
      <c r="A87" s="62" t="s">
        <v>142</v>
      </c>
      <c r="B87" s="63" t="s">
        <v>28</v>
      </c>
      <c r="C87" s="63">
        <v>0</v>
      </c>
      <c r="G87" s="10" t="s">
        <v>142</v>
      </c>
      <c r="H87" s="5" t="s">
        <v>28</v>
      </c>
      <c r="I87" s="5">
        <f>3.5*K87</f>
        <v>185.5</v>
      </c>
      <c r="J87" s="5">
        <f>8*K87*1.5</f>
        <v>636</v>
      </c>
      <c r="K87" s="5">
        <v>53</v>
      </c>
      <c r="L87" s="13">
        <v>2</v>
      </c>
      <c r="M87" s="20">
        <v>74</v>
      </c>
      <c r="N87" s="13">
        <f t="shared" si="5"/>
        <v>259.5</v>
      </c>
      <c r="O87" s="13">
        <f t="shared" si="6"/>
        <v>376.5</v>
      </c>
      <c r="Q87" s="82" t="s">
        <v>188</v>
      </c>
      <c r="R87" s="5">
        <f t="shared" ca="1" si="7"/>
        <v>0</v>
      </c>
      <c r="S87" s="5" t="s">
        <v>176</v>
      </c>
      <c r="T87" s="5">
        <v>-2</v>
      </c>
    </row>
    <row r="88" spans="1:20" x14ac:dyDescent="0.2">
      <c r="A88" s="62"/>
      <c r="B88" s="63" t="s">
        <v>29</v>
      </c>
      <c r="C88" s="63">
        <v>0</v>
      </c>
      <c r="G88" s="5"/>
      <c r="H88" s="5" t="s">
        <v>29</v>
      </c>
      <c r="I88" s="5">
        <f>7*K88</f>
        <v>651</v>
      </c>
      <c r="J88" s="5">
        <f>14.5*K88*1.5</f>
        <v>2022.75</v>
      </c>
      <c r="K88" s="5">
        <v>93</v>
      </c>
      <c r="L88" s="13">
        <v>3</v>
      </c>
      <c r="M88" s="20">
        <v>228</v>
      </c>
      <c r="N88" s="13">
        <f t="shared" si="5"/>
        <v>879</v>
      </c>
      <c r="O88" s="13">
        <f t="shared" si="6"/>
        <v>1143.75</v>
      </c>
      <c r="Q88" s="82" t="s">
        <v>190</v>
      </c>
      <c r="R88" s="5">
        <f t="shared" ca="1" si="7"/>
        <v>0</v>
      </c>
      <c r="S88" s="5" t="s">
        <v>176</v>
      </c>
      <c r="T88" s="5">
        <v>-2</v>
      </c>
    </row>
    <row r="89" spans="1:20" x14ac:dyDescent="0.2">
      <c r="A89" s="62"/>
      <c r="B89" s="63" t="s">
        <v>30</v>
      </c>
      <c r="C89" s="63">
        <v>1</v>
      </c>
      <c r="G89" s="5"/>
      <c r="H89" s="5" t="s">
        <v>30</v>
      </c>
      <c r="I89" s="5">
        <f>13.5*K89</f>
        <v>1498.5</v>
      </c>
      <c r="J89" s="5">
        <f>25*K89*1.5</f>
        <v>4162.5</v>
      </c>
      <c r="K89" s="5">
        <v>111</v>
      </c>
      <c r="L89" s="13">
        <v>5</v>
      </c>
      <c r="M89" s="20">
        <v>375</v>
      </c>
      <c r="N89" s="13">
        <f t="shared" si="5"/>
        <v>1873.5</v>
      </c>
      <c r="O89" s="13">
        <f t="shared" si="6"/>
        <v>2289</v>
      </c>
      <c r="Q89" s="82" t="s">
        <v>191</v>
      </c>
      <c r="R89" s="5">
        <f t="shared" ca="1" si="7"/>
        <v>0</v>
      </c>
      <c r="S89" s="5" t="s">
        <v>176</v>
      </c>
      <c r="T89" s="5">
        <v>-2</v>
      </c>
    </row>
    <row r="90" spans="1:20" x14ac:dyDescent="0.2">
      <c r="A90" s="62" t="s">
        <v>145</v>
      </c>
      <c r="B90" s="63" t="s">
        <v>32</v>
      </c>
      <c r="C90" s="63">
        <v>0</v>
      </c>
      <c r="G90" s="10" t="s">
        <v>145</v>
      </c>
      <c r="H90" s="5" t="s">
        <v>32</v>
      </c>
      <c r="I90" s="5">
        <f>14*K90</f>
        <v>560</v>
      </c>
      <c r="J90" s="5">
        <f>30*K90*1.5</f>
        <v>1800</v>
      </c>
      <c r="K90" s="5">
        <v>40</v>
      </c>
      <c r="L90" s="13">
        <v>2</v>
      </c>
      <c r="M90" s="20">
        <v>224</v>
      </c>
      <c r="N90" s="13">
        <f t="shared" si="5"/>
        <v>784</v>
      </c>
      <c r="O90" s="13">
        <f t="shared" si="6"/>
        <v>1016</v>
      </c>
      <c r="Q90" s="83" t="s">
        <v>192</v>
      </c>
      <c r="R90" s="5">
        <f t="shared" ca="1" si="7"/>
        <v>0</v>
      </c>
      <c r="S90" s="5" t="s">
        <v>176</v>
      </c>
      <c r="T90" s="5">
        <v>-2</v>
      </c>
    </row>
    <row r="91" spans="1:20" x14ac:dyDescent="0.2">
      <c r="A91" s="62"/>
      <c r="B91" s="63" t="s">
        <v>33</v>
      </c>
      <c r="C91" s="63">
        <v>0</v>
      </c>
      <c r="G91" s="5"/>
      <c r="H91" s="5" t="s">
        <v>33</v>
      </c>
      <c r="I91" s="5">
        <f>26*K91</f>
        <v>2080</v>
      </c>
      <c r="J91" s="5">
        <f>54*K91*1.5</f>
        <v>6480</v>
      </c>
      <c r="K91" s="5">
        <v>80</v>
      </c>
      <c r="L91" s="13">
        <v>4</v>
      </c>
      <c r="M91" s="20">
        <v>624</v>
      </c>
      <c r="N91" s="13">
        <f t="shared" si="5"/>
        <v>2704</v>
      </c>
      <c r="O91" s="13">
        <f t="shared" si="6"/>
        <v>3776</v>
      </c>
      <c r="Q91" s="83" t="s">
        <v>193</v>
      </c>
      <c r="R91" s="5">
        <f t="shared" ca="1" si="7"/>
        <v>0</v>
      </c>
      <c r="S91" s="5" t="s">
        <v>176</v>
      </c>
      <c r="T91" s="5">
        <v>-2</v>
      </c>
    </row>
    <row r="92" spans="1:20" x14ac:dyDescent="0.2">
      <c r="A92" s="62"/>
      <c r="B92" s="63" t="s">
        <v>34</v>
      </c>
      <c r="C92" s="63">
        <v>1</v>
      </c>
      <c r="G92" s="5"/>
      <c r="H92" s="5" t="s">
        <v>34</v>
      </c>
      <c r="I92" s="5">
        <f>48*K92</f>
        <v>5760</v>
      </c>
      <c r="J92" s="5">
        <f>92*K92*1.5</f>
        <v>16560</v>
      </c>
      <c r="K92" s="5">
        <v>120</v>
      </c>
      <c r="L92" s="13">
        <v>5</v>
      </c>
      <c r="M92" s="20">
        <v>1440</v>
      </c>
      <c r="N92" s="13">
        <f t="shared" si="5"/>
        <v>7200</v>
      </c>
      <c r="O92" s="13">
        <f t="shared" si="6"/>
        <v>9360</v>
      </c>
      <c r="Q92" s="83" t="s">
        <v>194</v>
      </c>
      <c r="R92" s="5">
        <f t="shared" ca="1" si="7"/>
        <v>0</v>
      </c>
      <c r="S92" s="5" t="s">
        <v>176</v>
      </c>
      <c r="T92" s="5">
        <v>-2</v>
      </c>
    </row>
    <row r="93" spans="1:20" x14ac:dyDescent="0.2">
      <c r="A93" s="53" t="s">
        <v>146</v>
      </c>
      <c r="B93" s="1" t="s">
        <v>37</v>
      </c>
      <c r="C93" s="1">
        <v>0</v>
      </c>
      <c r="D93" s="1"/>
      <c r="G93" s="3" t="s">
        <v>36</v>
      </c>
      <c r="H93" s="5" t="s">
        <v>37</v>
      </c>
      <c r="I93" s="5">
        <f>3*K93</f>
        <v>150</v>
      </c>
      <c r="J93" s="5">
        <f>7*K93*1.5</f>
        <v>525</v>
      </c>
      <c r="K93" s="5">
        <v>50</v>
      </c>
      <c r="L93" s="13">
        <v>2</v>
      </c>
      <c r="M93" s="20">
        <v>60</v>
      </c>
      <c r="N93" s="13">
        <f t="shared" si="5"/>
        <v>210</v>
      </c>
      <c r="O93" s="13">
        <f t="shared" si="6"/>
        <v>315</v>
      </c>
      <c r="Q93" s="83" t="s">
        <v>195</v>
      </c>
      <c r="R93" s="5">
        <f t="shared" ca="1" si="7"/>
        <v>0</v>
      </c>
      <c r="S93" s="5" t="s">
        <v>176</v>
      </c>
      <c r="T93" s="5">
        <v>-2</v>
      </c>
    </row>
    <row r="94" spans="1:20" x14ac:dyDescent="0.2">
      <c r="A94" s="53"/>
      <c r="B94" s="1" t="s">
        <v>38</v>
      </c>
      <c r="C94" s="1">
        <v>1</v>
      </c>
      <c r="G94" s="5"/>
      <c r="H94" s="5" t="s">
        <v>38</v>
      </c>
      <c r="I94" s="5">
        <f>6.5*K94</f>
        <v>572</v>
      </c>
      <c r="J94" s="5">
        <f>13.5*K94*1.5</f>
        <v>1782</v>
      </c>
      <c r="K94" s="5">
        <v>88</v>
      </c>
      <c r="L94" s="13">
        <v>3</v>
      </c>
      <c r="M94" s="20">
        <v>200</v>
      </c>
      <c r="N94" s="13">
        <f t="shared" si="5"/>
        <v>772</v>
      </c>
      <c r="O94" s="13">
        <f t="shared" si="6"/>
        <v>1010</v>
      </c>
      <c r="Q94" s="84"/>
      <c r="R94" s="30"/>
      <c r="S94" s="30"/>
      <c r="T94" s="30"/>
    </row>
    <row r="95" spans="1:20" x14ac:dyDescent="0.2">
      <c r="A95" s="53"/>
      <c r="B95" s="1" t="s">
        <v>39</v>
      </c>
      <c r="C95" s="1">
        <v>0</v>
      </c>
      <c r="G95" s="5"/>
      <c r="H95" s="5" t="s">
        <v>39</v>
      </c>
      <c r="I95" s="5">
        <f>12.5*K95</f>
        <v>1550</v>
      </c>
      <c r="J95" s="5">
        <f>23*K95*1.5</f>
        <v>4278</v>
      </c>
      <c r="K95" s="5">
        <v>124</v>
      </c>
      <c r="L95" s="13">
        <v>5</v>
      </c>
      <c r="M95" s="20">
        <v>388</v>
      </c>
      <c r="N95" s="13">
        <f t="shared" si="5"/>
        <v>1938</v>
      </c>
      <c r="O95" s="13">
        <f t="shared" si="6"/>
        <v>2340</v>
      </c>
      <c r="Q95" s="85" t="s">
        <v>196</v>
      </c>
      <c r="R95" s="46">
        <f t="shared" ref="R95:R100" ca="1" si="8">SUM(OFFSET($C$117, (ROW()-ROW($R$95))*3, 0, 3, 1))</f>
        <v>0.17014270000000001</v>
      </c>
      <c r="S95" s="5" t="s">
        <v>176</v>
      </c>
      <c r="T95" s="5">
        <v>1</v>
      </c>
    </row>
    <row r="96" spans="1:20" x14ac:dyDescent="0.2">
      <c r="A96" s="53" t="s">
        <v>147</v>
      </c>
      <c r="B96" s="1" t="s">
        <v>42</v>
      </c>
      <c r="C96" s="1">
        <v>0</v>
      </c>
      <c r="G96" s="3" t="s">
        <v>41</v>
      </c>
      <c r="H96" s="5" t="s">
        <v>42</v>
      </c>
      <c r="I96" s="5">
        <f>13*K96</f>
        <v>468</v>
      </c>
      <c r="J96" s="5">
        <f>28*K96*1.5</f>
        <v>1512</v>
      </c>
      <c r="K96" s="5">
        <v>36</v>
      </c>
      <c r="L96" s="13">
        <v>2</v>
      </c>
      <c r="M96" s="20">
        <v>187</v>
      </c>
      <c r="N96" s="13">
        <f t="shared" si="5"/>
        <v>655</v>
      </c>
      <c r="O96" s="13">
        <f t="shared" si="6"/>
        <v>857</v>
      </c>
      <c r="Q96" s="85" t="s">
        <v>51</v>
      </c>
      <c r="R96" s="46">
        <f t="shared" ca="1" si="8"/>
        <v>0</v>
      </c>
      <c r="S96" s="5" t="s">
        <v>176</v>
      </c>
      <c r="T96" s="5">
        <v>1</v>
      </c>
    </row>
    <row r="97" spans="1:20" x14ac:dyDescent="0.2">
      <c r="A97" s="53"/>
      <c r="B97" s="1" t="s">
        <v>43</v>
      </c>
      <c r="C97" s="1">
        <v>0</v>
      </c>
      <c r="G97" s="5"/>
      <c r="H97" s="5" t="s">
        <v>43</v>
      </c>
      <c r="I97" s="5">
        <f>24*K97</f>
        <v>1776</v>
      </c>
      <c r="J97" s="5">
        <f>50*K97*1.5</f>
        <v>5550</v>
      </c>
      <c r="K97" s="5">
        <v>74</v>
      </c>
      <c r="L97" s="13">
        <v>4</v>
      </c>
      <c r="M97" s="20">
        <v>533</v>
      </c>
      <c r="N97" s="13">
        <f t="shared" si="5"/>
        <v>2309</v>
      </c>
      <c r="O97" s="13">
        <f t="shared" si="6"/>
        <v>3241</v>
      </c>
      <c r="Q97" s="85" t="s">
        <v>56</v>
      </c>
      <c r="R97" s="46">
        <f t="shared" ca="1" si="8"/>
        <v>0</v>
      </c>
      <c r="S97" s="5" t="s">
        <v>176</v>
      </c>
      <c r="T97" s="5">
        <v>1</v>
      </c>
    </row>
    <row r="98" spans="1:20" x14ac:dyDescent="0.2">
      <c r="A98" s="53"/>
      <c r="B98" s="1" t="s">
        <v>44</v>
      </c>
      <c r="C98" s="1">
        <v>1</v>
      </c>
      <c r="G98" s="5"/>
      <c r="H98" s="5" t="s">
        <v>44</v>
      </c>
      <c r="I98" s="5">
        <f>46*K98</f>
        <v>7314</v>
      </c>
      <c r="J98" s="5">
        <f>88*K98*1.5</f>
        <v>20988</v>
      </c>
      <c r="K98" s="5">
        <v>159</v>
      </c>
      <c r="L98" s="13">
        <v>5</v>
      </c>
      <c r="M98" s="20">
        <v>1829</v>
      </c>
      <c r="N98" s="13">
        <f t="shared" si="5"/>
        <v>9143</v>
      </c>
      <c r="O98" s="13">
        <f t="shared" si="6"/>
        <v>11845</v>
      </c>
      <c r="Q98" s="86" t="s">
        <v>61</v>
      </c>
      <c r="R98" s="46">
        <f t="shared" ca="1" si="8"/>
        <v>1</v>
      </c>
      <c r="S98" s="5" t="s">
        <v>176</v>
      </c>
      <c r="T98" s="5">
        <v>1</v>
      </c>
    </row>
    <row r="99" spans="1:20" x14ac:dyDescent="0.2">
      <c r="A99" s="53" t="s">
        <v>148</v>
      </c>
      <c r="B99" s="1" t="s">
        <v>37</v>
      </c>
      <c r="C99" s="1">
        <v>0</v>
      </c>
      <c r="G99" s="3" t="s">
        <v>36</v>
      </c>
      <c r="H99" s="5" t="s">
        <v>37</v>
      </c>
      <c r="I99" s="5">
        <f>3*K99</f>
        <v>150</v>
      </c>
      <c r="J99" s="5">
        <f>7*K99*1.5</f>
        <v>525</v>
      </c>
      <c r="K99" s="5">
        <v>50</v>
      </c>
      <c r="L99" s="13">
        <v>2</v>
      </c>
      <c r="M99" s="20">
        <v>60</v>
      </c>
      <c r="N99" s="13">
        <f t="shared" si="5"/>
        <v>210</v>
      </c>
      <c r="O99" s="13">
        <f t="shared" si="6"/>
        <v>315</v>
      </c>
      <c r="Q99" s="85" t="s">
        <v>66</v>
      </c>
      <c r="R99" s="46">
        <f t="shared" ca="1" si="8"/>
        <v>1</v>
      </c>
      <c r="S99" s="5" t="s">
        <v>176</v>
      </c>
      <c r="T99" s="5">
        <v>1</v>
      </c>
    </row>
    <row r="100" spans="1:20" x14ac:dyDescent="0.2">
      <c r="A100" s="53"/>
      <c r="B100" s="1" t="s">
        <v>38</v>
      </c>
      <c r="C100" s="1">
        <v>1</v>
      </c>
      <c r="G100" s="5"/>
      <c r="H100" s="5" t="s">
        <v>38</v>
      </c>
      <c r="I100" s="5">
        <f>6.5*K100</f>
        <v>572</v>
      </c>
      <c r="J100" s="5">
        <f>13.5*K100*1.5</f>
        <v>1782</v>
      </c>
      <c r="K100" s="5">
        <v>88</v>
      </c>
      <c r="L100" s="13">
        <v>3</v>
      </c>
      <c r="M100" s="20">
        <v>200</v>
      </c>
      <c r="N100" s="13">
        <f t="shared" si="5"/>
        <v>772</v>
      </c>
      <c r="O100" s="13">
        <f t="shared" si="6"/>
        <v>1010</v>
      </c>
      <c r="Q100" s="85" t="s">
        <v>71</v>
      </c>
      <c r="R100" s="46">
        <f t="shared" ca="1" si="8"/>
        <v>0</v>
      </c>
      <c r="S100" s="5" t="s">
        <v>176</v>
      </c>
      <c r="T100" s="5">
        <v>1</v>
      </c>
    </row>
    <row r="101" spans="1:20" x14ac:dyDescent="0.2">
      <c r="A101" s="53"/>
      <c r="B101" s="1" t="s">
        <v>39</v>
      </c>
      <c r="C101" s="1">
        <v>0</v>
      </c>
      <c r="G101" s="5"/>
      <c r="H101" s="5" t="s">
        <v>39</v>
      </c>
      <c r="I101" s="5">
        <f>12.5*K101</f>
        <v>1550</v>
      </c>
      <c r="J101" s="5">
        <f>23*K101*1.5</f>
        <v>4278</v>
      </c>
      <c r="K101" s="5">
        <v>124</v>
      </c>
      <c r="L101" s="13">
        <v>5</v>
      </c>
      <c r="M101" s="20">
        <v>388</v>
      </c>
      <c r="N101" s="13">
        <f t="shared" si="5"/>
        <v>1938</v>
      </c>
      <c r="O101" s="13">
        <f t="shared" si="6"/>
        <v>2340</v>
      </c>
      <c r="Q101" s="85" t="s">
        <v>197</v>
      </c>
      <c r="R101" s="5">
        <f>SUM(C135:C136)</f>
        <v>0</v>
      </c>
      <c r="S101" s="5" t="s">
        <v>176</v>
      </c>
      <c r="T101" s="5">
        <v>1</v>
      </c>
    </row>
    <row r="102" spans="1:20" x14ac:dyDescent="0.2">
      <c r="A102" s="53" t="s">
        <v>149</v>
      </c>
      <c r="B102" s="1" t="s">
        <v>42</v>
      </c>
      <c r="C102" s="1">
        <v>0</v>
      </c>
      <c r="G102" s="3" t="s">
        <v>41</v>
      </c>
      <c r="H102" s="5" t="s">
        <v>42</v>
      </c>
      <c r="I102" s="5">
        <f>13*K102</f>
        <v>468</v>
      </c>
      <c r="J102" s="5">
        <f>28*K102*1.5</f>
        <v>1512</v>
      </c>
      <c r="K102" s="5">
        <v>36</v>
      </c>
      <c r="L102" s="13">
        <v>2</v>
      </c>
      <c r="M102" s="20">
        <v>187</v>
      </c>
      <c r="N102" s="13">
        <f t="shared" si="5"/>
        <v>655</v>
      </c>
      <c r="O102" s="13">
        <f t="shared" si="6"/>
        <v>857</v>
      </c>
      <c r="Q102" s="85" t="s">
        <v>80</v>
      </c>
      <c r="R102" s="5">
        <f t="shared" ref="R102:R110" ca="1" si="9">SUM(OFFSET($C$137, (ROW()-ROW($R$102))*3, 0, 3, 1))</f>
        <v>0</v>
      </c>
      <c r="S102" s="5" t="s">
        <v>176</v>
      </c>
      <c r="T102" s="5">
        <v>1</v>
      </c>
    </row>
    <row r="103" spans="1:20" x14ac:dyDescent="0.2">
      <c r="A103" s="53"/>
      <c r="B103" s="1" t="s">
        <v>43</v>
      </c>
      <c r="C103" s="1">
        <v>0</v>
      </c>
      <c r="G103" s="5"/>
      <c r="H103" s="5" t="s">
        <v>43</v>
      </c>
      <c r="I103" s="5">
        <f>24*K103</f>
        <v>1776</v>
      </c>
      <c r="J103" s="5">
        <f>50*K103*1.5</f>
        <v>5550</v>
      </c>
      <c r="K103" s="5">
        <v>74</v>
      </c>
      <c r="L103" s="13">
        <v>4</v>
      </c>
      <c r="M103" s="20">
        <v>533</v>
      </c>
      <c r="N103" s="13">
        <f t="shared" si="5"/>
        <v>2309</v>
      </c>
      <c r="O103" s="13">
        <f t="shared" si="6"/>
        <v>3241</v>
      </c>
      <c r="Q103" s="85" t="s">
        <v>198</v>
      </c>
      <c r="R103" s="5">
        <f ca="1">SUM(OFFSET($C$137, (ROW()-ROW($R$102))*3, 0, 3, 1))</f>
        <v>0</v>
      </c>
      <c r="S103" s="5" t="s">
        <v>176</v>
      </c>
      <c r="T103" s="5">
        <v>1</v>
      </c>
    </row>
    <row r="104" spans="1:20" x14ac:dyDescent="0.2">
      <c r="A104" s="53"/>
      <c r="B104" s="1" t="s">
        <v>44</v>
      </c>
      <c r="C104" s="1">
        <v>1</v>
      </c>
      <c r="G104" s="5"/>
      <c r="H104" s="5" t="s">
        <v>44</v>
      </c>
      <c r="I104" s="5">
        <f>46*K104</f>
        <v>7314</v>
      </c>
      <c r="J104" s="5">
        <f>88*K104*1.5</f>
        <v>20988</v>
      </c>
      <c r="K104" s="5">
        <v>159</v>
      </c>
      <c r="L104" s="13">
        <v>5</v>
      </c>
      <c r="M104" s="20">
        <v>1829</v>
      </c>
      <c r="N104" s="13">
        <f t="shared" si="5"/>
        <v>9143</v>
      </c>
      <c r="O104" s="13">
        <f t="shared" si="6"/>
        <v>11845</v>
      </c>
      <c r="Q104" s="85" t="s">
        <v>199</v>
      </c>
      <c r="R104" s="5">
        <f t="shared" ca="1" si="9"/>
        <v>1</v>
      </c>
      <c r="S104" s="5" t="s">
        <v>176</v>
      </c>
      <c r="T104" s="5">
        <v>1</v>
      </c>
    </row>
    <row r="105" spans="1:20" x14ac:dyDescent="0.2">
      <c r="A105" s="53" t="s">
        <v>150</v>
      </c>
      <c r="B105" s="1" t="s">
        <v>37</v>
      </c>
      <c r="C105" s="1">
        <v>0</v>
      </c>
      <c r="G105" s="3" t="s">
        <v>36</v>
      </c>
      <c r="H105" s="5" t="s">
        <v>37</v>
      </c>
      <c r="I105" s="5">
        <f>3*K105</f>
        <v>150</v>
      </c>
      <c r="J105" s="5">
        <f>7*K105*1.5</f>
        <v>525</v>
      </c>
      <c r="K105" s="5">
        <v>50</v>
      </c>
      <c r="L105" s="13">
        <v>2</v>
      </c>
      <c r="M105" s="20">
        <v>60</v>
      </c>
      <c r="N105" s="13">
        <f t="shared" si="5"/>
        <v>210</v>
      </c>
      <c r="O105" s="13">
        <f t="shared" si="6"/>
        <v>315</v>
      </c>
      <c r="Q105" s="85" t="s">
        <v>200</v>
      </c>
      <c r="R105" s="5">
        <f t="shared" ca="1" si="9"/>
        <v>0</v>
      </c>
      <c r="S105" s="5" t="s">
        <v>176</v>
      </c>
      <c r="T105" s="5">
        <v>1</v>
      </c>
    </row>
    <row r="106" spans="1:20" x14ac:dyDescent="0.2">
      <c r="A106" s="53"/>
      <c r="B106" s="1" t="s">
        <v>38</v>
      </c>
      <c r="C106" s="1">
        <v>1</v>
      </c>
      <c r="G106" s="5"/>
      <c r="H106" s="5" t="s">
        <v>38</v>
      </c>
      <c r="I106" s="5">
        <f>6.5*K106</f>
        <v>572</v>
      </c>
      <c r="J106" s="5">
        <f>13.5*K106*1.5</f>
        <v>1782</v>
      </c>
      <c r="K106" s="5">
        <v>88</v>
      </c>
      <c r="L106" s="13">
        <v>3</v>
      </c>
      <c r="M106" s="20">
        <v>200</v>
      </c>
      <c r="N106" s="13">
        <f t="shared" si="5"/>
        <v>772</v>
      </c>
      <c r="O106" s="13">
        <f t="shared" si="6"/>
        <v>1010</v>
      </c>
      <c r="Q106" s="85" t="s">
        <v>201</v>
      </c>
      <c r="R106" s="5">
        <f t="shared" ca="1" si="9"/>
        <v>0</v>
      </c>
      <c r="S106" s="5" t="s">
        <v>176</v>
      </c>
      <c r="T106" s="5">
        <v>1</v>
      </c>
    </row>
    <row r="107" spans="1:20" x14ac:dyDescent="0.2">
      <c r="A107" s="53"/>
      <c r="B107" s="1" t="s">
        <v>39</v>
      </c>
      <c r="C107" s="1">
        <v>0</v>
      </c>
      <c r="G107" s="5"/>
      <c r="H107" s="5" t="s">
        <v>39</v>
      </c>
      <c r="I107" s="5">
        <f>12.5*K107</f>
        <v>1550</v>
      </c>
      <c r="J107" s="5">
        <f>23*K107*1.5</f>
        <v>4278</v>
      </c>
      <c r="K107" s="5">
        <v>124</v>
      </c>
      <c r="L107" s="13">
        <v>5</v>
      </c>
      <c r="M107" s="20">
        <v>388</v>
      </c>
      <c r="N107" s="13">
        <f t="shared" si="5"/>
        <v>1938</v>
      </c>
      <c r="O107" s="13">
        <f t="shared" si="6"/>
        <v>2340</v>
      </c>
      <c r="Q107" s="85" t="s">
        <v>105</v>
      </c>
      <c r="R107" s="5">
        <f t="shared" ca="1" si="9"/>
        <v>0.56340288999999999</v>
      </c>
      <c r="S107" s="5" t="s">
        <v>176</v>
      </c>
      <c r="T107" s="5">
        <v>1</v>
      </c>
    </row>
    <row r="108" spans="1:20" x14ac:dyDescent="0.2">
      <c r="A108" s="53" t="s">
        <v>151</v>
      </c>
      <c r="B108" s="1" t="s">
        <v>42</v>
      </c>
      <c r="C108" s="1">
        <v>0</v>
      </c>
      <c r="G108" s="3" t="s">
        <v>41</v>
      </c>
      <c r="H108" s="5" t="s">
        <v>42</v>
      </c>
      <c r="I108" s="5">
        <f>13*K108</f>
        <v>468</v>
      </c>
      <c r="J108" s="5">
        <f>28*K108*1.5</f>
        <v>1512</v>
      </c>
      <c r="K108" s="5">
        <v>36</v>
      </c>
      <c r="L108" s="13">
        <v>2</v>
      </c>
      <c r="M108" s="20">
        <v>187</v>
      </c>
      <c r="N108" s="13">
        <f t="shared" si="5"/>
        <v>655</v>
      </c>
      <c r="O108" s="13">
        <f t="shared" si="6"/>
        <v>857</v>
      </c>
      <c r="Q108" s="85" t="s">
        <v>110</v>
      </c>
      <c r="R108" s="5">
        <f t="shared" ca="1" si="9"/>
        <v>0.97229916999999999</v>
      </c>
      <c r="S108" s="5" t="s">
        <v>176</v>
      </c>
      <c r="T108" s="5">
        <v>1</v>
      </c>
    </row>
    <row r="109" spans="1:20" x14ac:dyDescent="0.2">
      <c r="A109" s="53"/>
      <c r="B109" s="1" t="s">
        <v>43</v>
      </c>
      <c r="C109" s="1">
        <v>0</v>
      </c>
      <c r="G109" s="5"/>
      <c r="H109" s="5" t="s">
        <v>43</v>
      </c>
      <c r="I109" s="5">
        <f>24*K109</f>
        <v>1776</v>
      </c>
      <c r="J109" s="5">
        <f>50*K109*1.5</f>
        <v>5550</v>
      </c>
      <c r="K109" s="5">
        <v>74</v>
      </c>
      <c r="L109" s="13">
        <v>4</v>
      </c>
      <c r="M109" s="20">
        <v>533</v>
      </c>
      <c r="N109" s="13">
        <f t="shared" si="5"/>
        <v>2309</v>
      </c>
      <c r="O109" s="13">
        <f t="shared" si="6"/>
        <v>3241</v>
      </c>
      <c r="Q109" s="85" t="s">
        <v>115</v>
      </c>
      <c r="R109" s="5">
        <f t="shared" ca="1" si="9"/>
        <v>0.51769911999999996</v>
      </c>
      <c r="S109" s="5" t="s">
        <v>176</v>
      </c>
      <c r="T109" s="5">
        <v>1</v>
      </c>
    </row>
    <row r="110" spans="1:20" x14ac:dyDescent="0.2">
      <c r="A110" s="53"/>
      <c r="B110" s="1" t="s">
        <v>44</v>
      </c>
      <c r="C110" s="1">
        <v>1</v>
      </c>
      <c r="G110" s="5"/>
      <c r="H110" s="5" t="s">
        <v>44</v>
      </c>
      <c r="I110" s="5">
        <f>46*K110</f>
        <v>7314</v>
      </c>
      <c r="J110" s="5">
        <f>88*K110*1.5</f>
        <v>20988</v>
      </c>
      <c r="K110" s="5">
        <v>159</v>
      </c>
      <c r="L110" s="13">
        <v>5</v>
      </c>
      <c r="M110" s="20">
        <v>1829</v>
      </c>
      <c r="N110" s="13">
        <f t="shared" si="5"/>
        <v>9143</v>
      </c>
      <c r="O110" s="13">
        <f t="shared" si="6"/>
        <v>11845</v>
      </c>
      <c r="Q110" s="85" t="s">
        <v>120</v>
      </c>
      <c r="R110" s="5">
        <f t="shared" ca="1" si="9"/>
        <v>0</v>
      </c>
      <c r="S110" s="5" t="s">
        <v>176</v>
      </c>
      <c r="T110" s="5">
        <v>1</v>
      </c>
    </row>
    <row r="111" spans="1:20" x14ac:dyDescent="0.2">
      <c r="A111" s="53" t="s">
        <v>152</v>
      </c>
      <c r="B111" s="1" t="s">
        <v>37</v>
      </c>
      <c r="C111" s="1">
        <v>0</v>
      </c>
      <c r="G111" s="3" t="s">
        <v>36</v>
      </c>
      <c r="H111" s="5" t="s">
        <v>37</v>
      </c>
      <c r="I111" s="5">
        <f>3*K111</f>
        <v>150</v>
      </c>
      <c r="J111" s="5">
        <f>7*K111*1.5</f>
        <v>525</v>
      </c>
      <c r="K111" s="5">
        <v>50</v>
      </c>
      <c r="L111" s="13">
        <v>2</v>
      </c>
      <c r="M111" s="20">
        <v>60</v>
      </c>
      <c r="N111" s="13">
        <f t="shared" si="5"/>
        <v>210</v>
      </c>
      <c r="O111" s="13">
        <f t="shared" si="6"/>
        <v>315</v>
      </c>
      <c r="Q111" s="85" t="s">
        <v>125</v>
      </c>
      <c r="R111" s="5">
        <f>SUM(C164:C165)</f>
        <v>0</v>
      </c>
      <c r="S111" s="5" t="s">
        <v>176</v>
      </c>
      <c r="T111" s="5">
        <v>1</v>
      </c>
    </row>
    <row r="112" spans="1:20" x14ac:dyDescent="0.2">
      <c r="A112" s="53"/>
      <c r="B112" s="1" t="s">
        <v>38</v>
      </c>
      <c r="C112" s="1">
        <v>1</v>
      </c>
      <c r="G112" s="5"/>
      <c r="H112" s="5" t="s">
        <v>38</v>
      </c>
      <c r="I112" s="5">
        <f>6.5*K112</f>
        <v>572</v>
      </c>
      <c r="J112" s="5">
        <f>13.5*K112*1.5</f>
        <v>1782</v>
      </c>
      <c r="K112" s="5">
        <v>88</v>
      </c>
      <c r="L112" s="13">
        <v>3</v>
      </c>
      <c r="M112" s="20">
        <v>200</v>
      </c>
      <c r="N112" s="13">
        <f t="shared" si="5"/>
        <v>772</v>
      </c>
      <c r="O112" s="13">
        <f t="shared" si="6"/>
        <v>1010</v>
      </c>
      <c r="Q112" s="85" t="s">
        <v>128</v>
      </c>
      <c r="R112" s="5">
        <f>SUM(C166:C169)</f>
        <v>0</v>
      </c>
      <c r="S112" s="5" t="s">
        <v>176</v>
      </c>
      <c r="T112" s="5">
        <v>1</v>
      </c>
    </row>
    <row r="113" spans="1:20" x14ac:dyDescent="0.2">
      <c r="A113" s="53"/>
      <c r="B113" s="1" t="s">
        <v>39</v>
      </c>
      <c r="C113" s="1">
        <v>0</v>
      </c>
      <c r="G113" s="5"/>
      <c r="H113" s="5" t="s">
        <v>39</v>
      </c>
      <c r="I113" s="5">
        <f>12.5*K113</f>
        <v>1550</v>
      </c>
      <c r="J113" s="5">
        <f>23*K113*1.5</f>
        <v>4278</v>
      </c>
      <c r="K113" s="5">
        <v>124</v>
      </c>
      <c r="L113" s="13">
        <v>5</v>
      </c>
      <c r="M113" s="20">
        <v>388</v>
      </c>
      <c r="N113" s="13">
        <f t="shared" si="5"/>
        <v>1938</v>
      </c>
      <c r="O113" s="13">
        <f t="shared" si="6"/>
        <v>2340</v>
      </c>
      <c r="Q113" s="85" t="s">
        <v>135</v>
      </c>
      <c r="R113" s="5">
        <f>SUM(C170:C172)</f>
        <v>0</v>
      </c>
      <c r="S113" s="5" t="s">
        <v>176</v>
      </c>
      <c r="T113" s="5">
        <v>1</v>
      </c>
    </row>
    <row r="114" spans="1:20" x14ac:dyDescent="0.2">
      <c r="A114" s="53" t="s">
        <v>153</v>
      </c>
      <c r="B114" s="1" t="s">
        <v>42</v>
      </c>
      <c r="C114" s="1">
        <v>0</v>
      </c>
      <c r="G114" s="3" t="s">
        <v>41</v>
      </c>
      <c r="H114" s="5" t="s">
        <v>42</v>
      </c>
      <c r="I114" s="5">
        <f>13*K114</f>
        <v>468</v>
      </c>
      <c r="J114" s="5">
        <f>28*K114*1.5</f>
        <v>1512</v>
      </c>
      <c r="K114" s="5">
        <v>36</v>
      </c>
      <c r="L114" s="13">
        <v>2</v>
      </c>
      <c r="M114" s="20">
        <v>187</v>
      </c>
      <c r="N114" s="13">
        <f t="shared" si="5"/>
        <v>655</v>
      </c>
      <c r="O114" s="13">
        <f t="shared" si="6"/>
        <v>857</v>
      </c>
      <c r="Q114" s="57"/>
      <c r="R114" s="12"/>
      <c r="S114" s="12"/>
      <c r="T114" s="12"/>
    </row>
    <row r="115" spans="1:20" x14ac:dyDescent="0.2">
      <c r="A115" s="53"/>
      <c r="B115" s="1" t="s">
        <v>43</v>
      </c>
      <c r="C115" s="1">
        <v>0</v>
      </c>
      <c r="G115" s="5"/>
      <c r="H115" s="5" t="s">
        <v>43</v>
      </c>
      <c r="I115" s="5">
        <f>24*K115</f>
        <v>1776</v>
      </c>
      <c r="J115" s="5">
        <f>50*K115*1.5</f>
        <v>5550</v>
      </c>
      <c r="K115" s="5">
        <v>74</v>
      </c>
      <c r="L115" s="13">
        <v>4</v>
      </c>
      <c r="M115" s="20">
        <v>533</v>
      </c>
      <c r="N115" s="13">
        <f t="shared" si="5"/>
        <v>2309</v>
      </c>
      <c r="O115" s="13">
        <f t="shared" si="6"/>
        <v>3241</v>
      </c>
    </row>
    <row r="116" spans="1:20" x14ac:dyDescent="0.2">
      <c r="A116" s="53"/>
      <c r="B116" s="1" t="s">
        <v>44</v>
      </c>
      <c r="C116" s="1">
        <v>1</v>
      </c>
      <c r="G116" s="5"/>
      <c r="H116" s="5" t="s">
        <v>44</v>
      </c>
      <c r="I116" s="5">
        <f>46*K116</f>
        <v>7314</v>
      </c>
      <c r="J116" s="5">
        <f>88*K116*1.5</f>
        <v>20988</v>
      </c>
      <c r="K116" s="5">
        <v>159</v>
      </c>
      <c r="L116" s="13">
        <v>5</v>
      </c>
      <c r="M116" s="20">
        <v>1829</v>
      </c>
      <c r="N116" s="13">
        <f t="shared" si="5"/>
        <v>9143</v>
      </c>
      <c r="O116" s="13">
        <f t="shared" si="6"/>
        <v>11845</v>
      </c>
    </row>
    <row r="117" spans="1:20" x14ac:dyDescent="0.2">
      <c r="A117" s="58" t="s">
        <v>46</v>
      </c>
      <c r="B117" s="1" t="s">
        <v>47</v>
      </c>
      <c r="C117" s="1">
        <v>0.17014270000000001</v>
      </c>
      <c r="G117" s="52" t="s">
        <v>46</v>
      </c>
      <c r="H117" s="16" t="s">
        <v>47</v>
      </c>
      <c r="I117" s="5">
        <f>22*K117</f>
        <v>550</v>
      </c>
      <c r="J117" s="5">
        <f>46*K117*1.5</f>
        <v>1725</v>
      </c>
      <c r="K117" s="5">
        <v>25</v>
      </c>
      <c r="L117" s="13">
        <v>4</v>
      </c>
      <c r="M117" s="20">
        <v>264</v>
      </c>
      <c r="N117" s="13">
        <f>I117+M117</f>
        <v>814</v>
      </c>
      <c r="O117" s="13">
        <f>J117-N117</f>
        <v>911</v>
      </c>
    </row>
    <row r="118" spans="1:20" x14ac:dyDescent="0.2">
      <c r="A118" s="58"/>
      <c r="B118" s="1" t="s">
        <v>48</v>
      </c>
      <c r="C118" s="1">
        <v>0</v>
      </c>
      <c r="G118" s="1"/>
      <c r="H118" s="16" t="s">
        <v>48</v>
      </c>
      <c r="I118" s="5">
        <f>28*K118</f>
        <v>616</v>
      </c>
      <c r="J118" s="5">
        <f>58*K118*1.5</f>
        <v>1914</v>
      </c>
      <c r="K118" s="5">
        <v>22</v>
      </c>
      <c r="L118" s="13">
        <v>4</v>
      </c>
      <c r="M118" s="20">
        <v>352</v>
      </c>
      <c r="N118" s="13">
        <f t="shared" ref="N118:N128" si="10">I118+M118</f>
        <v>968</v>
      </c>
      <c r="O118" s="13">
        <f t="shared" ref="O118:O128" si="11">J118-N118</f>
        <v>946</v>
      </c>
    </row>
    <row r="119" spans="1:20" x14ac:dyDescent="0.2">
      <c r="A119" s="58"/>
      <c r="B119" s="1" t="s">
        <v>49</v>
      </c>
      <c r="C119" s="1">
        <v>0</v>
      </c>
      <c r="G119" s="14"/>
      <c r="H119" s="5" t="s">
        <v>49</v>
      </c>
      <c r="I119" s="5">
        <f>20*K119</f>
        <v>320</v>
      </c>
      <c r="J119" s="5">
        <f>42*K119*1.5</f>
        <v>1008</v>
      </c>
      <c r="K119" s="5">
        <v>16</v>
      </c>
      <c r="L119" s="13">
        <v>3</v>
      </c>
      <c r="M119" s="20">
        <v>231</v>
      </c>
      <c r="N119" s="13">
        <f t="shared" si="10"/>
        <v>551</v>
      </c>
      <c r="O119" s="13">
        <f t="shared" si="11"/>
        <v>457</v>
      </c>
    </row>
    <row r="120" spans="1:20" x14ac:dyDescent="0.2">
      <c r="A120" s="58" t="s">
        <v>51</v>
      </c>
      <c r="B120" s="1" t="s">
        <v>52</v>
      </c>
      <c r="C120" s="1">
        <v>0</v>
      </c>
      <c r="G120" s="4" t="s">
        <v>51</v>
      </c>
      <c r="H120" s="5" t="s">
        <v>52</v>
      </c>
      <c r="I120" s="5">
        <f>24*K120</f>
        <v>672</v>
      </c>
      <c r="J120" s="5">
        <f>52*K120*1.5</f>
        <v>2184</v>
      </c>
      <c r="K120" s="5">
        <v>28</v>
      </c>
      <c r="L120" s="13">
        <v>4</v>
      </c>
      <c r="M120" s="20">
        <v>431</v>
      </c>
      <c r="N120" s="13">
        <f t="shared" si="10"/>
        <v>1103</v>
      </c>
      <c r="O120" s="13">
        <f t="shared" si="11"/>
        <v>1081</v>
      </c>
    </row>
    <row r="121" spans="1:20" x14ac:dyDescent="0.2">
      <c r="A121" s="58"/>
      <c r="B121" s="1" t="s">
        <v>53</v>
      </c>
      <c r="C121" s="1">
        <v>0</v>
      </c>
      <c r="G121" s="5"/>
      <c r="H121" s="5" t="s">
        <v>53</v>
      </c>
      <c r="I121" s="5">
        <f>22*K121</f>
        <v>484</v>
      </c>
      <c r="J121" s="5">
        <f>48*K121*1.5</f>
        <v>1584</v>
      </c>
      <c r="K121" s="5">
        <v>22</v>
      </c>
      <c r="L121" s="13">
        <v>3</v>
      </c>
      <c r="M121" s="20">
        <v>323</v>
      </c>
      <c r="N121" s="13">
        <f t="shared" si="10"/>
        <v>807</v>
      </c>
      <c r="O121" s="13">
        <f t="shared" si="11"/>
        <v>777</v>
      </c>
    </row>
    <row r="122" spans="1:20" x14ac:dyDescent="0.2">
      <c r="A122" s="58"/>
      <c r="B122" s="1" t="s">
        <v>54</v>
      </c>
      <c r="C122" s="1">
        <v>0</v>
      </c>
      <c r="G122" s="5"/>
      <c r="H122" s="5" t="s">
        <v>54</v>
      </c>
      <c r="I122" s="5">
        <f>18*K122</f>
        <v>342</v>
      </c>
      <c r="J122" s="5">
        <f>40*K122*1.5</f>
        <v>1140</v>
      </c>
      <c r="K122" s="5">
        <v>19</v>
      </c>
      <c r="L122" s="13">
        <v>3</v>
      </c>
      <c r="M122" s="20">
        <v>214</v>
      </c>
      <c r="N122" s="13">
        <f t="shared" si="10"/>
        <v>556</v>
      </c>
      <c r="O122" s="13">
        <f t="shared" si="11"/>
        <v>584</v>
      </c>
    </row>
    <row r="123" spans="1:20" x14ac:dyDescent="0.2">
      <c r="A123" s="58" t="s">
        <v>56</v>
      </c>
      <c r="B123" s="1" t="s">
        <v>57</v>
      </c>
      <c r="C123" s="1">
        <v>0</v>
      </c>
      <c r="G123" s="4" t="s">
        <v>56</v>
      </c>
      <c r="H123" s="5" t="s">
        <v>57</v>
      </c>
      <c r="I123" s="5">
        <f>26*K123</f>
        <v>910</v>
      </c>
      <c r="J123" s="5">
        <f>55*K123*1.5</f>
        <v>2887.5</v>
      </c>
      <c r="K123" s="5">
        <v>35</v>
      </c>
      <c r="L123" s="13">
        <v>4</v>
      </c>
      <c r="M123" s="20">
        <v>538</v>
      </c>
      <c r="N123" s="13">
        <f t="shared" si="10"/>
        <v>1448</v>
      </c>
      <c r="O123" s="13">
        <f t="shared" si="11"/>
        <v>1439.5</v>
      </c>
    </row>
    <row r="124" spans="1:20" x14ac:dyDescent="0.2">
      <c r="A124" s="58"/>
      <c r="B124" s="1" t="s">
        <v>58</v>
      </c>
      <c r="C124" s="1">
        <v>0</v>
      </c>
      <c r="G124" s="5"/>
      <c r="H124" s="5" t="s">
        <v>58</v>
      </c>
      <c r="I124" s="5">
        <f>22*K124</f>
        <v>440</v>
      </c>
      <c r="J124" s="5">
        <f>46*K124*1.5</f>
        <v>1380</v>
      </c>
      <c r="K124" s="5">
        <v>20</v>
      </c>
      <c r="L124" s="13">
        <v>3</v>
      </c>
      <c r="M124" s="20">
        <v>323</v>
      </c>
      <c r="N124" s="13">
        <f t="shared" si="10"/>
        <v>763</v>
      </c>
      <c r="O124" s="13">
        <f t="shared" si="11"/>
        <v>617</v>
      </c>
    </row>
    <row r="125" spans="1:20" x14ac:dyDescent="0.2">
      <c r="A125" s="58"/>
      <c r="B125" s="1" t="s">
        <v>59</v>
      </c>
      <c r="C125" s="1">
        <v>0</v>
      </c>
      <c r="G125" s="5"/>
      <c r="H125" s="5" t="s">
        <v>59</v>
      </c>
      <c r="I125" s="5">
        <f>26*K125</f>
        <v>520</v>
      </c>
      <c r="J125" s="5">
        <f>56*K125*1.5</f>
        <v>1680</v>
      </c>
      <c r="K125" s="5">
        <v>20</v>
      </c>
      <c r="L125" s="13">
        <v>4</v>
      </c>
      <c r="M125" s="20">
        <v>312</v>
      </c>
      <c r="N125" s="13">
        <f t="shared" si="10"/>
        <v>832</v>
      </c>
      <c r="O125" s="13">
        <f t="shared" si="11"/>
        <v>848</v>
      </c>
    </row>
    <row r="126" spans="1:20" x14ac:dyDescent="0.2">
      <c r="A126" s="58" t="s">
        <v>61</v>
      </c>
      <c r="B126" s="1" t="s">
        <v>62</v>
      </c>
      <c r="C126" s="1">
        <v>1</v>
      </c>
      <c r="G126" s="4" t="s">
        <v>61</v>
      </c>
      <c r="H126" s="5" t="s">
        <v>62</v>
      </c>
      <c r="I126" s="5">
        <f>20*K126</f>
        <v>500</v>
      </c>
      <c r="J126" s="5">
        <f>44*K126*1.5</f>
        <v>1650</v>
      </c>
      <c r="K126" s="5">
        <v>25</v>
      </c>
      <c r="L126" s="13">
        <v>3</v>
      </c>
      <c r="M126" s="20">
        <v>259</v>
      </c>
      <c r="N126" s="13">
        <f t="shared" si="10"/>
        <v>759</v>
      </c>
      <c r="O126" s="13">
        <f t="shared" si="11"/>
        <v>891</v>
      </c>
    </row>
    <row r="127" spans="1:20" x14ac:dyDescent="0.2">
      <c r="A127" s="58"/>
      <c r="B127" s="1" t="s">
        <v>63</v>
      </c>
      <c r="C127" s="1">
        <v>0</v>
      </c>
      <c r="G127" s="5"/>
      <c r="H127" s="5" t="s">
        <v>63</v>
      </c>
      <c r="I127" s="5">
        <f>36*K127</f>
        <v>792</v>
      </c>
      <c r="J127" s="5">
        <f>72*K127*1.5</f>
        <v>2376</v>
      </c>
      <c r="K127" s="5">
        <v>22</v>
      </c>
      <c r="L127" s="13">
        <v>4</v>
      </c>
      <c r="M127" s="20">
        <v>378</v>
      </c>
      <c r="N127" s="13">
        <f t="shared" si="10"/>
        <v>1170</v>
      </c>
      <c r="O127" s="13">
        <f t="shared" si="11"/>
        <v>1206</v>
      </c>
    </row>
    <row r="128" spans="1:20" x14ac:dyDescent="0.2">
      <c r="A128" s="58"/>
      <c r="B128" s="1" t="s">
        <v>64</v>
      </c>
      <c r="C128" s="1">
        <v>0</v>
      </c>
      <c r="G128" s="5"/>
      <c r="H128" s="5" t="s">
        <v>64</v>
      </c>
      <c r="I128" s="5">
        <f>22*K128</f>
        <v>374</v>
      </c>
      <c r="J128" s="5">
        <f>48*K128*1.5</f>
        <v>1224</v>
      </c>
      <c r="K128" s="5">
        <v>17</v>
      </c>
      <c r="L128" s="13">
        <v>3</v>
      </c>
      <c r="M128" s="20">
        <v>246</v>
      </c>
      <c r="N128" s="13">
        <f t="shared" si="10"/>
        <v>620</v>
      </c>
      <c r="O128" s="13">
        <f t="shared" si="11"/>
        <v>604</v>
      </c>
    </row>
    <row r="129" spans="1:19" x14ac:dyDescent="0.2">
      <c r="A129" s="58" t="s">
        <v>66</v>
      </c>
      <c r="B129" s="1" t="s">
        <v>67</v>
      </c>
      <c r="C129" s="1">
        <v>0</v>
      </c>
      <c r="G129" s="4" t="s">
        <v>66</v>
      </c>
      <c r="H129" s="5" t="s">
        <v>67</v>
      </c>
      <c r="I129" s="5">
        <f>22*K129</f>
        <v>484</v>
      </c>
      <c r="J129" s="5">
        <f>48*K129*1.5</f>
        <v>1584</v>
      </c>
      <c r="K129" s="5">
        <v>22</v>
      </c>
      <c r="L129" s="13">
        <v>3</v>
      </c>
      <c r="M129" s="20">
        <v>323</v>
      </c>
      <c r="N129" s="13">
        <f t="shared" ref="N129:N134" si="12">I129+M129</f>
        <v>807</v>
      </c>
      <c r="O129" s="13">
        <f t="shared" ref="O129:O134" si="13">J129-N129</f>
        <v>777</v>
      </c>
    </row>
    <row r="130" spans="1:19" x14ac:dyDescent="0.2">
      <c r="A130" s="58"/>
      <c r="B130" s="1" t="s">
        <v>68</v>
      </c>
      <c r="C130" s="1">
        <v>1</v>
      </c>
      <c r="G130" s="5"/>
      <c r="H130" s="5" t="s">
        <v>68</v>
      </c>
      <c r="I130" s="5">
        <f>22*K130</f>
        <v>550</v>
      </c>
      <c r="J130" s="5">
        <f>48*K130*1.5</f>
        <v>1800</v>
      </c>
      <c r="K130" s="5">
        <v>25</v>
      </c>
      <c r="L130" s="13">
        <v>3</v>
      </c>
      <c r="M130" s="20">
        <v>254</v>
      </c>
      <c r="N130" s="13">
        <f t="shared" si="12"/>
        <v>804</v>
      </c>
      <c r="O130" s="13">
        <f t="shared" si="13"/>
        <v>996</v>
      </c>
    </row>
    <row r="131" spans="1:19" x14ac:dyDescent="0.2">
      <c r="A131" s="58"/>
      <c r="B131" s="1" t="s">
        <v>69</v>
      </c>
      <c r="C131" s="1">
        <v>0</v>
      </c>
      <c r="G131" s="5"/>
      <c r="H131" s="5" t="s">
        <v>69</v>
      </c>
      <c r="I131" s="5">
        <f>18*K131</f>
        <v>324</v>
      </c>
      <c r="J131" s="5">
        <f>40*K131*1.5</f>
        <v>1080</v>
      </c>
      <c r="K131" s="5">
        <v>18</v>
      </c>
      <c r="L131" s="13">
        <v>3</v>
      </c>
      <c r="M131" s="20">
        <v>258</v>
      </c>
      <c r="N131" s="13">
        <f t="shared" si="12"/>
        <v>582</v>
      </c>
      <c r="O131" s="13">
        <f t="shared" si="13"/>
        <v>498</v>
      </c>
    </row>
    <row r="132" spans="1:19" x14ac:dyDescent="0.2">
      <c r="A132" s="58" t="s">
        <v>71</v>
      </c>
      <c r="B132" s="1" t="s">
        <v>72</v>
      </c>
      <c r="C132" s="1">
        <v>0</v>
      </c>
      <c r="G132" s="4" t="s">
        <v>71</v>
      </c>
      <c r="H132" s="5" t="s">
        <v>72</v>
      </c>
      <c r="I132" s="5">
        <f>25*K132</f>
        <v>500</v>
      </c>
      <c r="J132" s="5">
        <f>55*K132*1.5</f>
        <v>1650</v>
      </c>
      <c r="K132" s="5">
        <v>20</v>
      </c>
      <c r="L132" s="13">
        <v>4</v>
      </c>
      <c r="M132" s="20">
        <v>375</v>
      </c>
      <c r="N132" s="13">
        <f t="shared" si="12"/>
        <v>875</v>
      </c>
      <c r="O132" s="13">
        <f t="shared" si="13"/>
        <v>775</v>
      </c>
    </row>
    <row r="133" spans="1:19" x14ac:dyDescent="0.2">
      <c r="A133" s="58"/>
      <c r="B133" s="1" t="s">
        <v>73</v>
      </c>
      <c r="C133" s="1">
        <v>0</v>
      </c>
      <c r="G133" s="5"/>
      <c r="H133" s="5" t="s">
        <v>73</v>
      </c>
      <c r="I133" s="5">
        <f>28*K133</f>
        <v>420</v>
      </c>
      <c r="J133" s="5">
        <f>60*K133*1.5</f>
        <v>1350</v>
      </c>
      <c r="K133" s="5">
        <v>15</v>
      </c>
      <c r="L133" s="13">
        <v>3</v>
      </c>
      <c r="M133" s="20">
        <v>392</v>
      </c>
      <c r="N133" s="13">
        <f t="shared" si="12"/>
        <v>812</v>
      </c>
      <c r="O133" s="13">
        <f t="shared" si="13"/>
        <v>538</v>
      </c>
    </row>
    <row r="134" spans="1:19" x14ac:dyDescent="0.2">
      <c r="A134" s="58"/>
      <c r="B134" s="1" t="s">
        <v>74</v>
      </c>
      <c r="C134" s="1">
        <v>0</v>
      </c>
      <c r="G134" s="5"/>
      <c r="H134" s="5" t="s">
        <v>74</v>
      </c>
      <c r="I134" s="5">
        <f>32*K134</f>
        <v>352</v>
      </c>
      <c r="J134" s="5">
        <f>68*K134*1.5</f>
        <v>1122</v>
      </c>
      <c r="K134" s="5">
        <v>11</v>
      </c>
      <c r="L134" s="13">
        <v>4</v>
      </c>
      <c r="M134" s="20">
        <v>461</v>
      </c>
      <c r="N134" s="13">
        <f t="shared" si="12"/>
        <v>813</v>
      </c>
      <c r="O134" s="13">
        <f t="shared" si="13"/>
        <v>309</v>
      </c>
    </row>
    <row r="135" spans="1:19" x14ac:dyDescent="0.2">
      <c r="A135" s="58" t="s">
        <v>76</v>
      </c>
      <c r="B135" s="1" t="s">
        <v>77</v>
      </c>
      <c r="C135" s="1">
        <v>0</v>
      </c>
      <c r="G135" s="4" t="s">
        <v>76</v>
      </c>
      <c r="H135" s="5" t="s">
        <v>77</v>
      </c>
      <c r="I135" s="5">
        <f>28*K135</f>
        <v>392</v>
      </c>
      <c r="J135" s="5">
        <f>60*K135*1.5</f>
        <v>1260</v>
      </c>
      <c r="K135" s="5">
        <v>14</v>
      </c>
      <c r="L135" s="13">
        <v>4</v>
      </c>
      <c r="M135" s="20">
        <v>361</v>
      </c>
      <c r="N135" s="13">
        <f t="shared" ref="N135:N172" si="14">I135+M135</f>
        <v>753</v>
      </c>
      <c r="O135" s="13">
        <f t="shared" ref="O135:O172" si="15">J135-N135</f>
        <v>507</v>
      </c>
    </row>
    <row r="136" spans="1:19" x14ac:dyDescent="0.2">
      <c r="A136" s="58"/>
      <c r="B136" s="1" t="s">
        <v>78</v>
      </c>
      <c r="C136" s="1">
        <v>0</v>
      </c>
      <c r="G136" s="5"/>
      <c r="H136" s="5" t="s">
        <v>78</v>
      </c>
      <c r="I136" s="5">
        <f>34*K136</f>
        <v>612</v>
      </c>
      <c r="J136" s="5">
        <f>68*K136*1.5</f>
        <v>1836</v>
      </c>
      <c r="K136" s="5">
        <v>18</v>
      </c>
      <c r="L136" s="13">
        <v>4</v>
      </c>
      <c r="M136" s="20">
        <v>275</v>
      </c>
      <c r="N136" s="13">
        <f t="shared" si="14"/>
        <v>887</v>
      </c>
      <c r="O136" s="13">
        <f t="shared" si="15"/>
        <v>949</v>
      </c>
    </row>
    <row r="137" spans="1:19" x14ac:dyDescent="0.2">
      <c r="A137" s="58" t="s">
        <v>80</v>
      </c>
      <c r="B137" s="1" t="s">
        <v>81</v>
      </c>
      <c r="C137" s="1">
        <v>0</v>
      </c>
      <c r="G137" s="4" t="s">
        <v>80</v>
      </c>
      <c r="H137" s="5" t="s">
        <v>81</v>
      </c>
      <c r="I137" s="5">
        <f>26*K137</f>
        <v>572</v>
      </c>
      <c r="J137" s="5">
        <f>56*K137*1.5</f>
        <v>1848</v>
      </c>
      <c r="K137" s="5">
        <v>22</v>
      </c>
      <c r="L137" s="13">
        <v>4</v>
      </c>
      <c r="M137" s="20">
        <v>328</v>
      </c>
      <c r="N137" s="13">
        <f t="shared" si="14"/>
        <v>900</v>
      </c>
      <c r="O137" s="13">
        <f t="shared" si="15"/>
        <v>948</v>
      </c>
    </row>
    <row r="138" spans="1:19" x14ac:dyDescent="0.2">
      <c r="A138" s="58"/>
      <c r="B138" s="1" t="s">
        <v>82</v>
      </c>
      <c r="C138" s="1">
        <v>0</v>
      </c>
      <c r="G138" s="5"/>
      <c r="H138" s="5" t="s">
        <v>82</v>
      </c>
      <c r="I138" s="5">
        <f>24*K138</f>
        <v>456</v>
      </c>
      <c r="J138" s="5">
        <f>52*K138*1.5</f>
        <v>1482</v>
      </c>
      <c r="K138" s="5">
        <v>19</v>
      </c>
      <c r="L138" s="13">
        <v>3</v>
      </c>
      <c r="M138" s="20">
        <v>252</v>
      </c>
      <c r="N138" s="13">
        <f t="shared" si="14"/>
        <v>708</v>
      </c>
      <c r="O138" s="13">
        <f t="shared" si="15"/>
        <v>774</v>
      </c>
    </row>
    <row r="139" spans="1:19" x14ac:dyDescent="0.2">
      <c r="A139" s="58"/>
      <c r="B139" s="1" t="s">
        <v>83</v>
      </c>
      <c r="C139" s="1">
        <v>0</v>
      </c>
      <c r="G139" s="5"/>
      <c r="H139" s="5" t="s">
        <v>83</v>
      </c>
      <c r="I139" s="5">
        <f>18*K139</f>
        <v>270</v>
      </c>
      <c r="J139" s="5">
        <f>40*K139*1.5</f>
        <v>900</v>
      </c>
      <c r="K139" s="5">
        <v>15</v>
      </c>
      <c r="L139" s="13">
        <v>3</v>
      </c>
      <c r="M139" s="20">
        <v>265</v>
      </c>
      <c r="N139" s="13">
        <f t="shared" si="14"/>
        <v>535</v>
      </c>
      <c r="O139" s="13">
        <f t="shared" si="15"/>
        <v>365</v>
      </c>
    </row>
    <row r="140" spans="1:19" x14ac:dyDescent="0.2">
      <c r="A140" s="58" t="s">
        <v>85</v>
      </c>
      <c r="B140" s="1" t="s">
        <v>86</v>
      </c>
      <c r="C140" s="1">
        <v>0</v>
      </c>
      <c r="G140" s="4" t="s">
        <v>85</v>
      </c>
      <c r="H140" s="5" t="s">
        <v>86</v>
      </c>
      <c r="I140" s="5">
        <f>34*K140</f>
        <v>1360</v>
      </c>
      <c r="J140" s="5">
        <f>68*K140*1.5</f>
        <v>4080</v>
      </c>
      <c r="K140" s="5">
        <v>40</v>
      </c>
      <c r="L140" s="13">
        <v>4</v>
      </c>
      <c r="M140" s="20">
        <v>887</v>
      </c>
      <c r="N140" s="13">
        <f t="shared" si="14"/>
        <v>2247</v>
      </c>
      <c r="O140" s="13">
        <f t="shared" si="15"/>
        <v>1833</v>
      </c>
    </row>
    <row r="141" spans="1:19" x14ac:dyDescent="0.2">
      <c r="A141" s="58"/>
      <c r="B141" s="1" t="s">
        <v>87</v>
      </c>
      <c r="C141" s="1">
        <v>0</v>
      </c>
      <c r="G141" s="5"/>
      <c r="H141" s="5" t="s">
        <v>87</v>
      </c>
      <c r="I141" s="5">
        <f>42*K141</f>
        <v>1092</v>
      </c>
      <c r="J141" s="5">
        <f>84*K141*1.5</f>
        <v>3276</v>
      </c>
      <c r="K141" s="5">
        <v>26</v>
      </c>
      <c r="L141" s="13">
        <v>4</v>
      </c>
      <c r="M141" s="20">
        <v>781</v>
      </c>
      <c r="N141" s="13">
        <f t="shared" si="14"/>
        <v>1873</v>
      </c>
      <c r="O141" s="13">
        <f t="shared" si="15"/>
        <v>1403</v>
      </c>
    </row>
    <row r="142" spans="1:19" x14ac:dyDescent="0.2">
      <c r="A142" s="58"/>
      <c r="B142" s="1" t="s">
        <v>88</v>
      </c>
      <c r="C142" s="1">
        <v>0</v>
      </c>
      <c r="G142" s="5"/>
      <c r="H142" s="5" t="s">
        <v>88</v>
      </c>
      <c r="I142" s="5">
        <f>26*K142</f>
        <v>598</v>
      </c>
      <c r="J142" s="5">
        <f>56*K142*1.5</f>
        <v>1932</v>
      </c>
      <c r="K142" s="5">
        <v>23</v>
      </c>
      <c r="L142" s="13">
        <v>4</v>
      </c>
      <c r="M142" s="20">
        <v>429</v>
      </c>
      <c r="N142" s="13">
        <f t="shared" si="14"/>
        <v>1027</v>
      </c>
      <c r="O142" s="13">
        <f t="shared" si="15"/>
        <v>905</v>
      </c>
    </row>
    <row r="143" spans="1:19" x14ac:dyDescent="0.2">
      <c r="A143" s="58" t="s">
        <v>90</v>
      </c>
      <c r="B143" s="1" t="s">
        <v>91</v>
      </c>
      <c r="C143" s="1">
        <v>1</v>
      </c>
      <c r="G143" s="4" t="s">
        <v>90</v>
      </c>
      <c r="H143" s="5" t="s">
        <v>91</v>
      </c>
      <c r="I143" s="5">
        <f>28*K143</f>
        <v>840</v>
      </c>
      <c r="J143" s="5">
        <f>62*K143*1.5</f>
        <v>2790</v>
      </c>
      <c r="K143" s="5">
        <v>30</v>
      </c>
      <c r="L143" s="13">
        <v>4</v>
      </c>
      <c r="M143" s="20">
        <v>336</v>
      </c>
      <c r="N143" s="13">
        <f t="shared" si="14"/>
        <v>1176</v>
      </c>
      <c r="O143" s="13">
        <f t="shared" si="15"/>
        <v>1614</v>
      </c>
      <c r="S143" s="54"/>
    </row>
    <row r="144" spans="1:19" x14ac:dyDescent="0.2">
      <c r="A144" s="58"/>
      <c r="B144" s="1" t="s">
        <v>92</v>
      </c>
      <c r="C144" s="1">
        <v>0</v>
      </c>
      <c r="G144" s="5"/>
      <c r="H144" s="5" t="s">
        <v>92</v>
      </c>
      <c r="I144" s="5">
        <f>36*K144</f>
        <v>720</v>
      </c>
      <c r="J144" s="5">
        <f>74*K144*1.5</f>
        <v>2220</v>
      </c>
      <c r="K144" s="5">
        <v>20</v>
      </c>
      <c r="L144" s="13">
        <v>4</v>
      </c>
      <c r="M144" s="20">
        <v>367</v>
      </c>
      <c r="N144" s="13">
        <f t="shared" si="14"/>
        <v>1087</v>
      </c>
      <c r="O144" s="13">
        <f t="shared" si="15"/>
        <v>1133</v>
      </c>
    </row>
    <row r="145" spans="1:19" x14ac:dyDescent="0.2">
      <c r="A145" s="58"/>
      <c r="B145" s="1" t="s">
        <v>93</v>
      </c>
      <c r="C145" s="1">
        <v>0</v>
      </c>
      <c r="G145" s="5"/>
      <c r="H145" s="5" t="s">
        <v>93</v>
      </c>
      <c r="I145" s="5">
        <f>20*K145</f>
        <v>540</v>
      </c>
      <c r="J145" s="5">
        <f>44*K145*1.5</f>
        <v>1782</v>
      </c>
      <c r="K145" s="5">
        <v>27</v>
      </c>
      <c r="L145" s="13">
        <v>3</v>
      </c>
      <c r="M145" s="20">
        <v>364</v>
      </c>
      <c r="N145" s="13">
        <f t="shared" si="14"/>
        <v>904</v>
      </c>
      <c r="O145" s="13">
        <f t="shared" si="15"/>
        <v>878</v>
      </c>
      <c r="S145" s="54"/>
    </row>
    <row r="146" spans="1:19" x14ac:dyDescent="0.2">
      <c r="A146" s="58" t="s">
        <v>95</v>
      </c>
      <c r="B146" s="1" t="s">
        <v>96</v>
      </c>
      <c r="C146" s="1">
        <v>0</v>
      </c>
      <c r="G146" s="4" t="s">
        <v>95</v>
      </c>
      <c r="H146" s="5" t="s">
        <v>96</v>
      </c>
      <c r="I146" s="5">
        <f>28*K146</f>
        <v>700</v>
      </c>
      <c r="J146" s="5">
        <f>58*K146*1.5</f>
        <v>2175</v>
      </c>
      <c r="K146" s="5">
        <v>25</v>
      </c>
      <c r="L146" s="13">
        <v>4</v>
      </c>
      <c r="M146" s="20">
        <v>546</v>
      </c>
      <c r="N146" s="13">
        <f t="shared" si="14"/>
        <v>1246</v>
      </c>
      <c r="O146" s="13">
        <f t="shared" si="15"/>
        <v>929</v>
      </c>
      <c r="S146" s="54"/>
    </row>
    <row r="147" spans="1:19" x14ac:dyDescent="0.2">
      <c r="A147" s="58"/>
      <c r="B147" s="1" t="s">
        <v>97</v>
      </c>
      <c r="C147" s="1">
        <v>0</v>
      </c>
      <c r="G147" s="5"/>
      <c r="H147" s="5" t="s">
        <v>97</v>
      </c>
      <c r="I147" s="5">
        <f>44*K147</f>
        <v>880</v>
      </c>
      <c r="J147" s="5">
        <f>88*K147*1.5</f>
        <v>2640</v>
      </c>
      <c r="K147" s="5">
        <v>20</v>
      </c>
      <c r="L147" s="13">
        <v>4</v>
      </c>
      <c r="M147" s="20">
        <v>726</v>
      </c>
      <c r="N147" s="13">
        <f t="shared" si="14"/>
        <v>1606</v>
      </c>
      <c r="O147" s="13">
        <f t="shared" si="15"/>
        <v>1034</v>
      </c>
    </row>
    <row r="148" spans="1:19" x14ac:dyDescent="0.2">
      <c r="A148" s="58"/>
      <c r="B148" s="1" t="s">
        <v>98</v>
      </c>
      <c r="C148" s="1">
        <v>0</v>
      </c>
      <c r="G148" s="5"/>
      <c r="H148" s="5" t="s">
        <v>98</v>
      </c>
      <c r="I148" s="5">
        <f>28*K148</f>
        <v>476</v>
      </c>
      <c r="J148" s="5">
        <f>60*K148*1.5</f>
        <v>1530</v>
      </c>
      <c r="K148" s="5">
        <v>17</v>
      </c>
      <c r="L148" s="13">
        <v>4</v>
      </c>
      <c r="M148" s="20">
        <v>286</v>
      </c>
      <c r="N148" s="13">
        <f t="shared" si="14"/>
        <v>762</v>
      </c>
      <c r="O148" s="13">
        <f t="shared" si="15"/>
        <v>768</v>
      </c>
    </row>
    <row r="149" spans="1:19" x14ac:dyDescent="0.2">
      <c r="A149" s="58" t="s">
        <v>100</v>
      </c>
      <c r="B149" s="1" t="s">
        <v>101</v>
      </c>
      <c r="C149" s="1">
        <v>0</v>
      </c>
      <c r="G149" s="4" t="s">
        <v>100</v>
      </c>
      <c r="H149" s="5" t="s">
        <v>101</v>
      </c>
      <c r="I149" s="5">
        <f>40*K149</f>
        <v>800</v>
      </c>
      <c r="J149" s="5">
        <f>82*K149*1.5</f>
        <v>2460</v>
      </c>
      <c r="K149" s="5">
        <v>20</v>
      </c>
      <c r="L149" s="13">
        <v>4</v>
      </c>
      <c r="M149" s="20">
        <v>564</v>
      </c>
      <c r="N149" s="13">
        <f t="shared" si="14"/>
        <v>1364</v>
      </c>
      <c r="O149" s="13">
        <f t="shared" si="15"/>
        <v>1096</v>
      </c>
    </row>
    <row r="150" spans="1:19" x14ac:dyDescent="0.2">
      <c r="A150" s="58"/>
      <c r="B150" s="1" t="s">
        <v>102</v>
      </c>
      <c r="C150" s="1">
        <v>0</v>
      </c>
      <c r="G150" s="5"/>
      <c r="H150" s="5" t="s">
        <v>102</v>
      </c>
      <c r="I150" s="5">
        <f>30*K150</f>
        <v>450</v>
      </c>
      <c r="J150" s="5">
        <f>64*K150*1.5</f>
        <v>1440</v>
      </c>
      <c r="K150" s="5">
        <v>15</v>
      </c>
      <c r="L150" s="13">
        <v>4</v>
      </c>
      <c r="M150" s="20">
        <v>342</v>
      </c>
      <c r="N150" s="13">
        <f t="shared" si="14"/>
        <v>792</v>
      </c>
      <c r="O150" s="13">
        <f t="shared" si="15"/>
        <v>648</v>
      </c>
    </row>
    <row r="151" spans="1:19" x14ac:dyDescent="0.2">
      <c r="A151" s="58"/>
      <c r="B151" s="1" t="s">
        <v>103</v>
      </c>
      <c r="C151" s="1">
        <v>0</v>
      </c>
      <c r="G151" s="5"/>
      <c r="H151" s="5" t="s">
        <v>103</v>
      </c>
      <c r="I151" s="5">
        <f>22*K151</f>
        <v>330</v>
      </c>
      <c r="J151" s="5">
        <f>48*K151*1.5</f>
        <v>1080</v>
      </c>
      <c r="K151" s="5">
        <v>15</v>
      </c>
      <c r="L151" s="13">
        <v>3</v>
      </c>
      <c r="M151" s="20">
        <v>254</v>
      </c>
      <c r="N151" s="13">
        <f t="shared" si="14"/>
        <v>584</v>
      </c>
      <c r="O151" s="13">
        <f t="shared" si="15"/>
        <v>496</v>
      </c>
    </row>
    <row r="152" spans="1:19" x14ac:dyDescent="0.2">
      <c r="A152" s="58" t="s">
        <v>105</v>
      </c>
      <c r="B152" s="1" t="s">
        <v>106</v>
      </c>
      <c r="C152" s="1">
        <v>0</v>
      </c>
      <c r="G152" s="4" t="s">
        <v>105</v>
      </c>
      <c r="H152" s="5" t="s">
        <v>106</v>
      </c>
      <c r="I152" s="5">
        <f>20*K152</f>
        <v>440</v>
      </c>
      <c r="J152" s="5">
        <f>44*K152*1.5</f>
        <v>1452</v>
      </c>
      <c r="K152" s="5">
        <v>22</v>
      </c>
      <c r="L152" s="13">
        <v>3</v>
      </c>
      <c r="M152" s="20">
        <v>427</v>
      </c>
      <c r="N152" s="13">
        <f t="shared" si="14"/>
        <v>867</v>
      </c>
      <c r="O152" s="13">
        <f t="shared" si="15"/>
        <v>585</v>
      </c>
    </row>
    <row r="153" spans="1:19" x14ac:dyDescent="0.2">
      <c r="A153" s="58"/>
      <c r="B153" s="1" t="s">
        <v>107</v>
      </c>
      <c r="C153" s="1">
        <v>0</v>
      </c>
      <c r="G153" s="5"/>
      <c r="H153" s="5" t="s">
        <v>107</v>
      </c>
      <c r="I153" s="5">
        <f>22*K153</f>
        <v>352</v>
      </c>
      <c r="J153" s="5">
        <f>48*K153*1.5</f>
        <v>1152</v>
      </c>
      <c r="K153" s="5">
        <v>16</v>
      </c>
      <c r="L153" s="13">
        <v>3</v>
      </c>
      <c r="M153" s="20">
        <v>377</v>
      </c>
      <c r="N153" s="13">
        <f t="shared" si="14"/>
        <v>729</v>
      </c>
      <c r="O153" s="13">
        <f t="shared" si="15"/>
        <v>423</v>
      </c>
    </row>
    <row r="154" spans="1:19" x14ac:dyDescent="0.2">
      <c r="A154" s="58"/>
      <c r="B154" s="1" t="s">
        <v>108</v>
      </c>
      <c r="C154" s="1">
        <v>0.56340288999999999</v>
      </c>
      <c r="G154" s="5"/>
      <c r="H154" s="5" t="s">
        <v>108</v>
      </c>
      <c r="I154" s="5">
        <f>22*K154</f>
        <v>396</v>
      </c>
      <c r="J154" s="5">
        <f>48*K154*1.5</f>
        <v>1296</v>
      </c>
      <c r="K154" s="5">
        <v>18</v>
      </c>
      <c r="L154" s="13">
        <v>4</v>
      </c>
      <c r="M154" s="20">
        <v>277</v>
      </c>
      <c r="N154" s="13">
        <f t="shared" si="14"/>
        <v>673</v>
      </c>
      <c r="O154" s="13">
        <f t="shared" si="15"/>
        <v>623</v>
      </c>
    </row>
    <row r="155" spans="1:19" x14ac:dyDescent="0.2">
      <c r="A155" s="58" t="s">
        <v>110</v>
      </c>
      <c r="B155" s="1" t="s">
        <v>111</v>
      </c>
      <c r="C155" s="1">
        <v>0</v>
      </c>
      <c r="G155" s="4" t="s">
        <v>110</v>
      </c>
      <c r="H155" s="5" t="s">
        <v>111</v>
      </c>
      <c r="I155" s="5">
        <f>24*K155</f>
        <v>360</v>
      </c>
      <c r="J155" s="5">
        <f>54*K155*1.5</f>
        <v>1215</v>
      </c>
      <c r="K155" s="5">
        <v>15</v>
      </c>
      <c r="L155" s="13">
        <v>4</v>
      </c>
      <c r="M155" s="20">
        <v>374</v>
      </c>
      <c r="N155" s="13">
        <f t="shared" si="14"/>
        <v>734</v>
      </c>
      <c r="O155" s="13">
        <f t="shared" si="15"/>
        <v>481</v>
      </c>
    </row>
    <row r="156" spans="1:19" x14ac:dyDescent="0.2">
      <c r="A156" s="58"/>
      <c r="B156" s="1" t="s">
        <v>112</v>
      </c>
      <c r="C156" s="1">
        <v>0</v>
      </c>
      <c r="G156" s="5"/>
      <c r="H156" s="5" t="s">
        <v>112</v>
      </c>
      <c r="I156" s="5">
        <f>26*K156</f>
        <v>494</v>
      </c>
      <c r="J156" s="5">
        <f>56*K156*1.5</f>
        <v>1596</v>
      </c>
      <c r="K156" s="5">
        <v>19</v>
      </c>
      <c r="L156" s="13">
        <v>4</v>
      </c>
      <c r="M156" s="20">
        <v>468</v>
      </c>
      <c r="N156" s="13">
        <f t="shared" si="14"/>
        <v>962</v>
      </c>
      <c r="O156" s="13">
        <f t="shared" si="15"/>
        <v>634</v>
      </c>
    </row>
    <row r="157" spans="1:19" x14ac:dyDescent="0.2">
      <c r="A157" s="58"/>
      <c r="B157" s="1" t="s">
        <v>113</v>
      </c>
      <c r="C157" s="1">
        <v>0.97229916999999999</v>
      </c>
      <c r="G157" s="5"/>
      <c r="H157" s="5" t="s">
        <v>113</v>
      </c>
      <c r="I157" s="5">
        <f>22*K157</f>
        <v>264</v>
      </c>
      <c r="J157" s="5">
        <f>48*K157*1.5</f>
        <v>864</v>
      </c>
      <c r="K157" s="5">
        <v>12</v>
      </c>
      <c r="L157" s="13">
        <v>3</v>
      </c>
      <c r="M157" s="20">
        <v>239</v>
      </c>
      <c r="N157" s="13">
        <f t="shared" si="14"/>
        <v>503</v>
      </c>
      <c r="O157" s="13">
        <f t="shared" si="15"/>
        <v>361</v>
      </c>
    </row>
    <row r="158" spans="1:19" x14ac:dyDescent="0.2">
      <c r="A158" s="58" t="s">
        <v>115</v>
      </c>
      <c r="B158" s="1" t="s">
        <v>116</v>
      </c>
      <c r="C158" s="1">
        <v>0.51769911999999996</v>
      </c>
      <c r="G158" s="4" t="s">
        <v>115</v>
      </c>
      <c r="H158" s="5" t="s">
        <v>116</v>
      </c>
      <c r="I158" s="5">
        <f>22*K158</f>
        <v>484</v>
      </c>
      <c r="J158" s="5">
        <f>48*K158*1.5</f>
        <v>1584</v>
      </c>
      <c r="K158" s="5">
        <v>22</v>
      </c>
      <c r="L158" s="13">
        <v>4</v>
      </c>
      <c r="M158" s="20">
        <v>422</v>
      </c>
      <c r="N158" s="13">
        <f t="shared" si="14"/>
        <v>906</v>
      </c>
      <c r="O158" s="13">
        <f t="shared" si="15"/>
        <v>678</v>
      </c>
    </row>
    <row r="159" spans="1:19" x14ac:dyDescent="0.2">
      <c r="A159" s="58"/>
      <c r="B159" s="1" t="s">
        <v>117</v>
      </c>
      <c r="C159" s="1">
        <v>0</v>
      </c>
      <c r="G159" s="5"/>
      <c r="H159" s="5" t="s">
        <v>117</v>
      </c>
      <c r="I159" s="5">
        <f>24*K159</f>
        <v>384</v>
      </c>
      <c r="J159" s="5">
        <f>52*K159*1.5</f>
        <v>1248</v>
      </c>
      <c r="K159" s="5">
        <v>16</v>
      </c>
      <c r="L159" s="13">
        <v>4</v>
      </c>
      <c r="M159" s="20">
        <v>367</v>
      </c>
      <c r="N159" s="13">
        <f t="shared" si="14"/>
        <v>751</v>
      </c>
      <c r="O159" s="13">
        <f t="shared" si="15"/>
        <v>497</v>
      </c>
    </row>
    <row r="160" spans="1:19" x14ac:dyDescent="0.2">
      <c r="A160" s="58"/>
      <c r="B160" s="1" t="s">
        <v>118</v>
      </c>
      <c r="C160" s="1">
        <v>0</v>
      </c>
      <c r="G160" s="5"/>
      <c r="H160" s="5" t="s">
        <v>118</v>
      </c>
      <c r="I160" s="5">
        <f>28*K160</f>
        <v>308</v>
      </c>
      <c r="J160" s="5">
        <f>60*K160*1.5</f>
        <v>990</v>
      </c>
      <c r="K160" s="5">
        <v>11</v>
      </c>
      <c r="L160" s="13">
        <v>4</v>
      </c>
      <c r="M160" s="20">
        <v>353</v>
      </c>
      <c r="N160" s="13">
        <f t="shared" si="14"/>
        <v>661</v>
      </c>
      <c r="O160" s="13">
        <f t="shared" si="15"/>
        <v>329</v>
      </c>
    </row>
    <row r="161" spans="1:15" x14ac:dyDescent="0.2">
      <c r="A161" s="58" t="s">
        <v>120</v>
      </c>
      <c r="B161" s="1" t="s">
        <v>121</v>
      </c>
      <c r="C161" s="1">
        <v>0</v>
      </c>
      <c r="G161" s="4" t="s">
        <v>120</v>
      </c>
      <c r="H161" s="5" t="s">
        <v>121</v>
      </c>
      <c r="I161" s="5">
        <f>24*K161</f>
        <v>648</v>
      </c>
      <c r="J161" s="5">
        <f>52*K161*1.5</f>
        <v>2106</v>
      </c>
      <c r="K161" s="5">
        <v>27</v>
      </c>
      <c r="L161" s="13">
        <v>4</v>
      </c>
      <c r="M161" s="20">
        <v>522</v>
      </c>
      <c r="N161" s="13">
        <f t="shared" si="14"/>
        <v>1170</v>
      </c>
      <c r="O161" s="13">
        <f t="shared" si="15"/>
        <v>936</v>
      </c>
    </row>
    <row r="162" spans="1:15" x14ac:dyDescent="0.2">
      <c r="A162" s="58"/>
      <c r="B162" s="1" t="s">
        <v>122</v>
      </c>
      <c r="C162" s="1">
        <v>0</v>
      </c>
      <c r="G162" s="5"/>
      <c r="H162" s="5" t="s">
        <v>122</v>
      </c>
      <c r="I162" s="5">
        <f>26*K162</f>
        <v>390</v>
      </c>
      <c r="J162" s="5">
        <f>56*K162*1.5</f>
        <v>1260</v>
      </c>
      <c r="K162" s="5">
        <v>15</v>
      </c>
      <c r="L162" s="13">
        <v>4</v>
      </c>
      <c r="M162" s="20">
        <v>273</v>
      </c>
      <c r="N162" s="13">
        <f t="shared" si="14"/>
        <v>663</v>
      </c>
      <c r="O162" s="13">
        <f t="shared" si="15"/>
        <v>597</v>
      </c>
    </row>
    <row r="163" spans="1:15" x14ac:dyDescent="0.2">
      <c r="A163" s="58"/>
      <c r="B163" s="1" t="s">
        <v>123</v>
      </c>
      <c r="C163" s="1">
        <v>0</v>
      </c>
      <c r="G163" s="5"/>
      <c r="H163" s="5" t="s">
        <v>123</v>
      </c>
      <c r="I163" s="5">
        <f>30*K163</f>
        <v>330</v>
      </c>
      <c r="J163" s="5">
        <f>64*K163*1.5</f>
        <v>1056</v>
      </c>
      <c r="K163" s="5">
        <v>11</v>
      </c>
      <c r="L163" s="13">
        <v>4</v>
      </c>
      <c r="M163" s="20">
        <v>378</v>
      </c>
      <c r="N163" s="13">
        <f t="shared" si="14"/>
        <v>708</v>
      </c>
      <c r="O163" s="13">
        <f t="shared" si="15"/>
        <v>348</v>
      </c>
    </row>
    <row r="164" spans="1:15" x14ac:dyDescent="0.2">
      <c r="A164" s="58" t="s">
        <v>125</v>
      </c>
      <c r="B164" s="1" t="s">
        <v>126</v>
      </c>
      <c r="C164" s="1">
        <v>0</v>
      </c>
      <c r="G164" s="4" t="s">
        <v>125</v>
      </c>
      <c r="H164" s="5" t="s">
        <v>126</v>
      </c>
      <c r="I164" s="5">
        <f>40*K164</f>
        <v>600</v>
      </c>
      <c r="J164" s="5">
        <f>82*K164*1.5</f>
        <v>1845</v>
      </c>
      <c r="K164" s="5">
        <v>15</v>
      </c>
      <c r="L164" s="13">
        <v>4</v>
      </c>
      <c r="M164" s="20">
        <v>336</v>
      </c>
      <c r="N164" s="13">
        <f t="shared" si="14"/>
        <v>936</v>
      </c>
      <c r="O164" s="13">
        <f t="shared" si="15"/>
        <v>909</v>
      </c>
    </row>
    <row r="165" spans="1:15" x14ac:dyDescent="0.2">
      <c r="A165" s="58"/>
      <c r="B165" s="1" t="s">
        <v>127</v>
      </c>
      <c r="C165" s="1">
        <v>0</v>
      </c>
      <c r="G165" s="5"/>
      <c r="H165" s="5" t="s">
        <v>127</v>
      </c>
      <c r="I165" s="5">
        <f>20*K165</f>
        <v>220</v>
      </c>
      <c r="J165" s="5">
        <f>44*K165*1.5</f>
        <v>726</v>
      </c>
      <c r="K165" s="5">
        <v>11</v>
      </c>
      <c r="L165" s="13">
        <v>3</v>
      </c>
      <c r="M165" s="20">
        <v>168</v>
      </c>
      <c r="N165" s="13">
        <f t="shared" si="14"/>
        <v>388</v>
      </c>
      <c r="O165" s="13">
        <f t="shared" si="15"/>
        <v>338</v>
      </c>
    </row>
    <row r="166" spans="1:15" x14ac:dyDescent="0.2">
      <c r="A166" s="58" t="s">
        <v>128</v>
      </c>
      <c r="B166" s="1" t="s">
        <v>129</v>
      </c>
      <c r="C166" s="1">
        <v>0</v>
      </c>
      <c r="G166" s="4" t="s">
        <v>128</v>
      </c>
      <c r="H166" s="5" t="s">
        <v>129</v>
      </c>
      <c r="I166" s="5">
        <f>26*K166</f>
        <v>312</v>
      </c>
      <c r="J166" s="5">
        <f>56*K166*1.5</f>
        <v>1008</v>
      </c>
      <c r="K166" s="5">
        <v>12</v>
      </c>
      <c r="L166" s="13">
        <v>4</v>
      </c>
      <c r="M166" s="20">
        <v>499</v>
      </c>
      <c r="N166" s="13">
        <f t="shared" si="14"/>
        <v>811</v>
      </c>
      <c r="O166" s="13">
        <f t="shared" si="15"/>
        <v>197</v>
      </c>
    </row>
    <row r="167" spans="1:15" x14ac:dyDescent="0.2">
      <c r="A167" s="58"/>
      <c r="B167" s="1" t="s">
        <v>131</v>
      </c>
      <c r="C167" s="1">
        <v>0</v>
      </c>
      <c r="G167" s="5"/>
      <c r="H167" s="5" t="s">
        <v>131</v>
      </c>
      <c r="I167" s="5">
        <f>18*K167</f>
        <v>396</v>
      </c>
      <c r="J167" s="5">
        <f>40*K167*1.5</f>
        <v>1320</v>
      </c>
      <c r="K167" s="5">
        <v>22</v>
      </c>
      <c r="L167" s="13">
        <v>3</v>
      </c>
      <c r="M167" s="20">
        <v>340</v>
      </c>
      <c r="N167" s="13">
        <f t="shared" si="14"/>
        <v>736</v>
      </c>
      <c r="O167" s="13">
        <f t="shared" si="15"/>
        <v>584</v>
      </c>
    </row>
    <row r="168" spans="1:15" x14ac:dyDescent="0.2">
      <c r="A168" s="58"/>
      <c r="B168" s="1" t="s">
        <v>132</v>
      </c>
      <c r="C168" s="1">
        <v>0</v>
      </c>
      <c r="G168" s="5"/>
      <c r="H168" s="5" t="s">
        <v>132</v>
      </c>
      <c r="I168" s="5">
        <f>28*K168</f>
        <v>476</v>
      </c>
      <c r="J168" s="5">
        <f>60*K168*1.5</f>
        <v>1530</v>
      </c>
      <c r="K168" s="5">
        <v>17</v>
      </c>
      <c r="L168" s="13">
        <v>4</v>
      </c>
      <c r="M168" s="20">
        <v>370</v>
      </c>
      <c r="N168" s="13">
        <f t="shared" si="14"/>
        <v>846</v>
      </c>
      <c r="O168" s="13">
        <f t="shared" si="15"/>
        <v>684</v>
      </c>
    </row>
    <row r="169" spans="1:15" x14ac:dyDescent="0.2">
      <c r="A169" s="58"/>
      <c r="B169" s="1" t="s">
        <v>133</v>
      </c>
      <c r="C169" s="1">
        <v>0</v>
      </c>
      <c r="G169" s="5"/>
      <c r="H169" s="5" t="s">
        <v>133</v>
      </c>
      <c r="I169" s="5">
        <f>26*K169</f>
        <v>390</v>
      </c>
      <c r="J169" s="5">
        <f>56*K169*1.5</f>
        <v>1260</v>
      </c>
      <c r="K169" s="5">
        <v>15</v>
      </c>
      <c r="L169" s="13">
        <v>4</v>
      </c>
      <c r="M169" s="20">
        <v>281</v>
      </c>
      <c r="N169" s="13">
        <f t="shared" si="14"/>
        <v>671</v>
      </c>
      <c r="O169" s="13">
        <f t="shared" si="15"/>
        <v>589</v>
      </c>
    </row>
    <row r="170" spans="1:15" x14ac:dyDescent="0.2">
      <c r="A170" s="58" t="s">
        <v>135</v>
      </c>
      <c r="B170" s="1" t="s">
        <v>136</v>
      </c>
      <c r="C170" s="1">
        <v>0</v>
      </c>
      <c r="G170" s="4" t="s">
        <v>135</v>
      </c>
      <c r="H170" s="5" t="s">
        <v>136</v>
      </c>
      <c r="I170" s="5">
        <f>20*K170</f>
        <v>300</v>
      </c>
      <c r="J170" s="5">
        <f>44*K170*1.5</f>
        <v>990</v>
      </c>
      <c r="K170" s="5">
        <v>15</v>
      </c>
      <c r="L170" s="13">
        <v>4</v>
      </c>
      <c r="M170" s="20">
        <v>228</v>
      </c>
      <c r="N170" s="13">
        <f t="shared" si="14"/>
        <v>528</v>
      </c>
      <c r="O170" s="13">
        <f t="shared" si="15"/>
        <v>462</v>
      </c>
    </row>
    <row r="171" spans="1:15" x14ac:dyDescent="0.2">
      <c r="A171" s="58"/>
      <c r="B171" s="1" t="s">
        <v>137</v>
      </c>
      <c r="C171" s="1">
        <v>0</v>
      </c>
      <c r="G171" s="5"/>
      <c r="H171" s="5" t="s">
        <v>137</v>
      </c>
      <c r="I171" s="5">
        <f>26*K171</f>
        <v>338</v>
      </c>
      <c r="J171" s="5">
        <f>56*K171*1.5</f>
        <v>1092</v>
      </c>
      <c r="K171" s="5">
        <v>13</v>
      </c>
      <c r="L171" s="13">
        <v>4</v>
      </c>
      <c r="M171" s="20">
        <v>343</v>
      </c>
      <c r="N171" s="13">
        <f t="shared" si="14"/>
        <v>681</v>
      </c>
      <c r="O171" s="13">
        <f t="shared" si="15"/>
        <v>411</v>
      </c>
    </row>
    <row r="172" spans="1:15" x14ac:dyDescent="0.2">
      <c r="A172" s="58"/>
      <c r="B172" s="1" t="s">
        <v>138</v>
      </c>
      <c r="C172" s="1">
        <v>0</v>
      </c>
      <c r="G172" s="5"/>
      <c r="H172" s="5" t="s">
        <v>138</v>
      </c>
      <c r="I172" s="5">
        <f>18*K172</f>
        <v>144</v>
      </c>
      <c r="J172" s="5">
        <f>40*K172*1.5</f>
        <v>480</v>
      </c>
      <c r="K172" s="5">
        <v>8</v>
      </c>
      <c r="L172" s="13">
        <v>3</v>
      </c>
      <c r="M172" s="20">
        <v>158</v>
      </c>
      <c r="N172" s="13">
        <f t="shared" si="14"/>
        <v>302</v>
      </c>
      <c r="O172" s="13">
        <f t="shared" si="15"/>
        <v>178</v>
      </c>
    </row>
    <row r="188" spans="11:11" x14ac:dyDescent="0.2">
      <c r="K188" t="s">
        <v>189</v>
      </c>
    </row>
    <row r="253" spans="4:6" x14ac:dyDescent="0.2">
      <c r="D253" s="6"/>
      <c r="E253" s="2"/>
      <c r="F253" s="2">
        <v>0</v>
      </c>
    </row>
  </sheetData>
  <dataValidations disablePrompts="1" count="1">
    <dataValidation type="whole" allowBlank="1" showInputMessage="1" showErrorMessage="1" sqref="F253 C185 C189 C193 C197:C201 C205 C209 C213 C217 C220 C225 C3:C172" xr:uid="{13912BA6-34A9-40CF-B1D2-F1E6812D3B7B}">
      <formula1>0</formula1>
      <formula2>1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 Sensitivity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Federico Berrio Parra</dc:creator>
  <cp:keywords/>
  <dc:description/>
  <cp:lastModifiedBy>Federico Berrio Parra</cp:lastModifiedBy>
  <cp:revision/>
  <dcterms:created xsi:type="dcterms:W3CDTF">2026-05-21T15:39:43Z</dcterms:created>
  <dcterms:modified xsi:type="dcterms:W3CDTF">2026-07-11T21:15:15Z</dcterms:modified>
  <cp:category/>
  <cp:contentStatus/>
</cp:coreProperties>
</file>